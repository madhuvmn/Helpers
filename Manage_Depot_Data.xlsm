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drawings/drawing6.xml" ContentType="application/vnd.openxmlformats-officedocument.drawing+xml"/>
  <Override PartName="/xl/ctrlProps/ctrlProp8.xml" ContentType="application/vnd.ms-excel.controlproperties+xml"/>
  <Override PartName="/xl/tables/table3.xml" ContentType="application/vnd.openxmlformats-officedocument.spreadsheetml.table+xml"/>
  <Override PartName="/xl/slicers/slicer1.xml" ContentType="application/vnd.ms-excel.slicer+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8631fa19a1fa7815/Depot/Backup/"/>
    </mc:Choice>
  </mc:AlternateContent>
  <xr:revisionPtr revIDLastSave="0" documentId="8_{9766630F-2995-41BB-8795-93FA52AEE764}" xr6:coauthVersionLast="47" xr6:coauthVersionMax="47" xr10:uidLastSave="{00000000-0000-0000-0000-000000000000}"/>
  <bookViews>
    <workbookView xWindow="-120" yWindow="-120" windowWidth="29040" windowHeight="15840" tabRatio="834" xr2:uid="{0BDBA501-552C-44FC-88AD-E83553D43D41}"/>
  </bookViews>
  <sheets>
    <sheet name="INDEX" sheetId="1" r:id="rId1"/>
    <sheet name="DATA" sheetId="2" r:id="rId2"/>
    <sheet name="TEMP" sheetId="8" r:id="rId3"/>
    <sheet name="REPORT" sheetId="44" r:id="rId4"/>
    <sheet name="REPORT1" sheetId="6" state="hidden" r:id="rId5"/>
    <sheet name="FINAL_REPORT" sheetId="45" r:id="rId6"/>
    <sheet name="FINAL_REPORT1" sheetId="12" state="hidden" r:id="rId7"/>
    <sheet name="LOCAL_SALE" sheetId="10" r:id="rId8"/>
    <sheet name="CAL_DATA" sheetId="13" r:id="rId9"/>
    <sheet name="ADVANCE" sheetId="11" r:id="rId10"/>
    <sheet name="RECOVERY" sheetId="48" r:id="rId11"/>
    <sheet name="MEMBERS_INFO" sheetId="3" r:id="rId12"/>
    <sheet name="FAT_RATES_INFO" sheetId="4" state="hidden" r:id="rId13"/>
    <sheet name="MISSING_DATA" sheetId="42" r:id="rId14"/>
    <sheet name="Sheet2" sheetId="21" state="hidden" r:id="rId15"/>
    <sheet name="LOCAL_SALE_DATA" sheetId="52" r:id="rId16"/>
    <sheet name="DASHBOARD" sheetId="53" r:id="rId17"/>
    <sheet name="Testing" sheetId="49" r:id="rId18"/>
    <sheet name="FilteredData" sheetId="56" r:id="rId19"/>
  </sheets>
  <functionGroups builtInGroupCount="19"/>
  <externalReferences>
    <externalReference r:id="rId20"/>
  </externalReferences>
  <definedNames>
    <definedName name="_xlnm._FilterDatabase" localSheetId="9" hidden="1">ADVANCE!$A$1:$E$454</definedName>
    <definedName name="_xlnm._FilterDatabase" localSheetId="8" hidden="1">CAL_DATA!$A$1:$F$26</definedName>
    <definedName name="_xlnm._FilterDatabase" localSheetId="1" hidden="1">DATA!$A$1:$F$860</definedName>
    <definedName name="_xlnm._FilterDatabase" localSheetId="13" hidden="1">MISSING_DATA!$A$1:$D$117</definedName>
    <definedName name="_xlnm._FilterDatabase" localSheetId="2" hidden="1">TEMP!$A$1:$F$31</definedName>
    <definedName name="_xlnm.Print_Area" localSheetId="5">FINAL_REPORT!$A$1:$P$52,FINAL_REPORT!$A$54:$P$105,FINAL_REPORT!$A$107:$P$158,FINAL_REPORT!$A$160:$P$211,FINAL_REPORT!$A$213:$P$264</definedName>
    <definedName name="_xlnm.Print_Area" localSheetId="6">FINAL_REPORT1!$A$1:$P$52,FINAL_REPORT1!$A$54:$P$105,FINAL_REPORT1!$A$107:$P$158,FINAL_REPORT1!$A$160:$P$211</definedName>
    <definedName name="Slicer_Date">#N/A</definedName>
    <definedName name="Slicer_ID">#N/A</definedName>
    <definedName name="Slicer_Session">#N/A</definedName>
    <definedName name="TBL" localSheetId="5">[1]!Table2[#All]</definedName>
    <definedName name="TBL" localSheetId="3">[1]!Table2[#All]</definedName>
    <definedName name="TBL">Table2[#All]</definedName>
    <definedName name="Tbl_Fat_Rates" localSheetId="5">[1]!Table2[#All]</definedName>
    <definedName name="Tbl_Fat_Rates" localSheetId="3">[1]!Table2[#All]</definedName>
    <definedName name="Tbl_Fat_Rates">Table2[#All]</definedName>
    <definedName name="Tbl_Members" localSheetId="5">#REF!</definedName>
    <definedName name="Tbl_Members" localSheetId="3">#REF!</definedName>
    <definedName name="Tbl_Members">#REF!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4:slicerCache r:id="rId22"/>
        <x14:slicerCache r:id="rId2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4" i="13" l="1"/>
  <c r="I7" i="13"/>
  <c r="I8" i="13"/>
  <c r="I9" i="13"/>
  <c r="I10" i="13"/>
  <c r="I12" i="13"/>
  <c r="I14" i="13"/>
  <c r="I15" i="13"/>
  <c r="I16" i="13"/>
  <c r="I18" i="13"/>
  <c r="I19" i="13"/>
  <c r="I20" i="13"/>
  <c r="I21" i="13"/>
  <c r="I6" i="13"/>
  <c r="F860" i="2"/>
  <c r="E4" i="56"/>
  <c r="E3" i="56"/>
  <c r="E2" i="56"/>
  <c r="F859" i="2"/>
  <c r="F858" i="2"/>
  <c r="F857" i="2"/>
  <c r="F856" i="2"/>
  <c r="F855" i="2"/>
  <c r="F854" i="2"/>
  <c r="F853" i="2"/>
  <c r="F852" i="2"/>
  <c r="F851" i="2"/>
  <c r="F850" i="2"/>
  <c r="F849" i="2"/>
  <c r="F848" i="2"/>
  <c r="F427" i="2"/>
  <c r="F429" i="2"/>
  <c r="F426" i="2"/>
  <c r="F844" i="2"/>
  <c r="F437" i="2"/>
  <c r="F584" i="2"/>
  <c r="F644" i="2"/>
  <c r="F425" i="2"/>
  <c r="F805" i="2"/>
  <c r="F574" i="2"/>
  <c r="F837" i="2"/>
  <c r="F423" i="2"/>
  <c r="F422" i="2"/>
  <c r="F418" i="2"/>
  <c r="F833" i="2"/>
  <c r="F430" i="2"/>
  <c r="F831" i="2"/>
  <c r="F846" i="2"/>
  <c r="F847" i="2"/>
  <c r="F845" i="2"/>
  <c r="F843" i="2"/>
  <c r="F832" i="2"/>
  <c r="F836" i="2"/>
  <c r="F841" i="2"/>
  <c r="F835" i="2"/>
  <c r="F840" i="2"/>
  <c r="F834" i="2"/>
  <c r="F838" i="2"/>
  <c r="F819" i="2"/>
  <c r="F413" i="2"/>
  <c r="F817" i="2"/>
  <c r="F620" i="2"/>
  <c r="F564" i="2"/>
  <c r="F415" i="2"/>
  <c r="F813" i="2"/>
  <c r="F411" i="2"/>
  <c r="F421" i="2"/>
  <c r="F810" i="2"/>
  <c r="F406" i="2"/>
  <c r="F402" i="2"/>
  <c r="F424" i="2"/>
  <c r="F401" i="2"/>
  <c r="F780" i="2"/>
  <c r="F410" i="2"/>
  <c r="F553" i="2"/>
  <c r="F802" i="2"/>
  <c r="F830" i="2"/>
  <c r="F829" i="2"/>
  <c r="F828" i="2"/>
  <c r="F822" i="2"/>
  <c r="F826" i="2"/>
  <c r="F827" i="2"/>
  <c r="F823" i="2"/>
  <c r="F820" i="2"/>
  <c r="F825" i="2"/>
  <c r="F824" i="2"/>
  <c r="F821" i="2"/>
  <c r="F400" i="2"/>
  <c r="F789" i="2"/>
  <c r="F608" i="2"/>
  <c r="F787" i="2"/>
  <c r="F399" i="2"/>
  <c r="F392" i="2"/>
  <c r="F404" i="2"/>
  <c r="F783" i="2"/>
  <c r="F782" i="2"/>
  <c r="F396" i="2"/>
  <c r="F750" i="2"/>
  <c r="F548" i="2"/>
  <c r="F405" i="2"/>
  <c r="F395" i="2"/>
  <c r="F391" i="2"/>
  <c r="F403" i="2"/>
  <c r="F774" i="2"/>
  <c r="F812" i="2"/>
  <c r="F818" i="2"/>
  <c r="F814" i="2"/>
  <c r="F804" i="2"/>
  <c r="F807" i="2"/>
  <c r="F811" i="2"/>
  <c r="F808" i="2"/>
  <c r="F809" i="2"/>
  <c r="F816" i="2"/>
  <c r="F806" i="2"/>
  <c r="F815" i="2"/>
  <c r="F762" i="2"/>
  <c r="F390" i="2"/>
  <c r="F760" i="2"/>
  <c r="F388" i="2"/>
  <c r="F398" i="2"/>
  <c r="F536" i="2"/>
  <c r="F374" i="2"/>
  <c r="F394" i="2"/>
  <c r="F591" i="2"/>
  <c r="F375" i="2"/>
  <c r="F752" i="2"/>
  <c r="F385" i="2"/>
  <c r="F721" i="2"/>
  <c r="F377" i="2"/>
  <c r="F519" i="2"/>
  <c r="F397" i="2"/>
  <c r="F746" i="2"/>
  <c r="F801" i="2"/>
  <c r="F799" i="2"/>
  <c r="F800" i="2"/>
  <c r="F793" i="2"/>
  <c r="F797" i="2"/>
  <c r="F796" i="2"/>
  <c r="F798" i="2"/>
  <c r="F794" i="2"/>
  <c r="F795" i="2"/>
  <c r="F792" i="2"/>
  <c r="F791" i="2"/>
  <c r="F372" i="2"/>
  <c r="F733" i="2"/>
  <c r="F732" i="2"/>
  <c r="F370" i="2"/>
  <c r="F579" i="2"/>
  <c r="F383" i="2"/>
  <c r="F362" i="2"/>
  <c r="F497" i="2"/>
  <c r="F525" i="2"/>
  <c r="F725" i="2"/>
  <c r="F382" i="2"/>
  <c r="F723" i="2"/>
  <c r="F363" i="2"/>
  <c r="F695" i="2"/>
  <c r="F367" i="2"/>
  <c r="F365" i="2"/>
  <c r="F376" i="2"/>
  <c r="F790" i="2"/>
  <c r="F716" i="2"/>
  <c r="F784" i="2"/>
  <c r="F781" i="2"/>
  <c r="F775" i="2"/>
  <c r="F785" i="2"/>
  <c r="F778" i="2"/>
  <c r="F777" i="2"/>
  <c r="F779" i="2"/>
  <c r="F776" i="2"/>
  <c r="F788" i="2"/>
  <c r="F706" i="2"/>
  <c r="F360" i="2"/>
  <c r="F359" i="2"/>
  <c r="F703" i="2"/>
  <c r="F371" i="2"/>
  <c r="F508" i="2"/>
  <c r="F700" i="2"/>
  <c r="F345" i="2"/>
  <c r="F698" i="2"/>
  <c r="F354" i="2"/>
  <c r="F368" i="2"/>
  <c r="F663" i="2"/>
  <c r="F563" i="2"/>
  <c r="F350" i="2"/>
  <c r="F369" i="2"/>
  <c r="F467" i="2"/>
  <c r="F349" i="2"/>
  <c r="F689" i="2"/>
  <c r="F786" i="2"/>
  <c r="F772" i="2"/>
  <c r="F771" i="2"/>
  <c r="F768" i="2"/>
  <c r="F769" i="2"/>
  <c r="F767" i="2"/>
  <c r="F770" i="2"/>
  <c r="F763" i="2"/>
  <c r="F766" i="2"/>
  <c r="F765" i="2"/>
  <c r="F764" i="2"/>
  <c r="F677" i="2"/>
  <c r="F342" i="2"/>
  <c r="F344" i="2"/>
  <c r="F674" i="2"/>
  <c r="F357" i="2"/>
  <c r="F672" i="2"/>
  <c r="F547" i="2"/>
  <c r="F440" i="2"/>
  <c r="F489" i="2"/>
  <c r="F340" i="2"/>
  <c r="F352" i="2"/>
  <c r="F666" i="2"/>
  <c r="F338" i="2"/>
  <c r="F333" i="2"/>
  <c r="F638" i="2"/>
  <c r="F348" i="2"/>
  <c r="F335" i="2"/>
  <c r="F660" i="2"/>
  <c r="F761" i="2"/>
  <c r="F773" i="2"/>
  <c r="F758" i="2"/>
  <c r="F749" i="2"/>
  <c r="F747" i="2"/>
  <c r="F755" i="2"/>
  <c r="F751" i="2"/>
  <c r="F754" i="2"/>
  <c r="F753" i="2"/>
  <c r="F757" i="2"/>
  <c r="F756" i="2"/>
  <c r="F648" i="2"/>
  <c r="F320" i="2"/>
  <c r="F330" i="2"/>
  <c r="F645" i="2"/>
  <c r="F541" i="2"/>
  <c r="F336" i="2"/>
  <c r="F477" i="2"/>
  <c r="F341" i="2"/>
  <c r="F640" i="2"/>
  <c r="F326" i="2"/>
  <c r="F606" i="2"/>
  <c r="F324" i="2"/>
  <c r="F381" i="2"/>
  <c r="F635" i="2"/>
  <c r="F319" i="2"/>
  <c r="F339" i="2"/>
  <c r="F317" i="2"/>
  <c r="F631" i="2"/>
  <c r="F759" i="2"/>
  <c r="F743" i="2"/>
  <c r="F744" i="2"/>
  <c r="F741" i="2"/>
  <c r="F742" i="2"/>
  <c r="F739" i="2"/>
  <c r="F740" i="2"/>
  <c r="F737" i="2"/>
  <c r="F738" i="2"/>
  <c r="F735" i="2"/>
  <c r="F736" i="2"/>
  <c r="F619" i="2"/>
  <c r="F314" i="2"/>
  <c r="F313" i="2"/>
  <c r="F616" i="2"/>
  <c r="F323" i="2"/>
  <c r="F309" i="2"/>
  <c r="F613" i="2"/>
  <c r="F311" i="2"/>
  <c r="F611" i="2"/>
  <c r="F468" i="2"/>
  <c r="F347" i="2"/>
  <c r="F529" i="2"/>
  <c r="F318" i="2"/>
  <c r="F582" i="2"/>
  <c r="F328" i="2"/>
  <c r="F305" i="2"/>
  <c r="F304" i="2"/>
  <c r="F602" i="2"/>
  <c r="F745" i="2"/>
  <c r="F731" i="2"/>
  <c r="F729" i="2"/>
  <c r="F718" i="2"/>
  <c r="F724" i="2"/>
  <c r="F720" i="2"/>
  <c r="F719" i="2"/>
  <c r="F722" i="2"/>
  <c r="F726" i="2"/>
  <c r="F728" i="2"/>
  <c r="F730" i="2"/>
  <c r="F590" i="2"/>
  <c r="F299" i="2"/>
  <c r="F303" i="2"/>
  <c r="F587" i="2"/>
  <c r="F586" i="2"/>
  <c r="F294" i="2"/>
  <c r="F316" i="2"/>
  <c r="F288" i="2"/>
  <c r="F556" i="2"/>
  <c r="F292" i="2"/>
  <c r="F306" i="2"/>
  <c r="F505" i="2"/>
  <c r="F310" i="2"/>
  <c r="F577" i="2"/>
  <c r="F297" i="2"/>
  <c r="F287" i="2"/>
  <c r="F449" i="2"/>
  <c r="F573" i="2"/>
  <c r="F734" i="2"/>
  <c r="F715" i="2"/>
  <c r="F717" i="2"/>
  <c r="F711" i="2"/>
  <c r="F713" i="2"/>
  <c r="F710" i="2"/>
  <c r="F714" i="2"/>
  <c r="F712" i="2"/>
  <c r="F709" i="2"/>
  <c r="F707" i="2"/>
  <c r="F708" i="2"/>
  <c r="F561" i="2"/>
  <c r="F285" i="2"/>
  <c r="F559" i="2"/>
  <c r="F283" i="2"/>
  <c r="F284" i="2"/>
  <c r="F522" i="2"/>
  <c r="F293" i="2"/>
  <c r="F278" i="2"/>
  <c r="F312" i="2"/>
  <c r="F277" i="2"/>
  <c r="F551" i="2"/>
  <c r="F281" i="2"/>
  <c r="F290" i="2"/>
  <c r="F438" i="2"/>
  <c r="F499" i="2"/>
  <c r="F276" i="2"/>
  <c r="F545" i="2"/>
  <c r="F704" i="2"/>
  <c r="F705" i="2"/>
  <c r="F692" i="2"/>
  <c r="F694" i="2"/>
  <c r="F702" i="2"/>
  <c r="F696" i="2"/>
  <c r="F693" i="2"/>
  <c r="F690" i="2"/>
  <c r="F701" i="2"/>
  <c r="F697" i="2"/>
  <c r="F699" i="2"/>
  <c r="F272" i="2"/>
  <c r="F532" i="2"/>
  <c r="F274" i="2"/>
  <c r="F530" i="2"/>
  <c r="F483" i="2"/>
  <c r="F270" i="2"/>
  <c r="F260" i="2"/>
  <c r="F526" i="2"/>
  <c r="F420" i="2"/>
  <c r="F279" i="2"/>
  <c r="F265" i="2"/>
  <c r="F498" i="2"/>
  <c r="F521" i="2"/>
  <c r="F267" i="2"/>
  <c r="F289" i="2"/>
  <c r="F280" i="2"/>
  <c r="F259" i="2"/>
  <c r="F516" i="2"/>
  <c r="F688" i="2"/>
  <c r="F687" i="2"/>
  <c r="F686" i="2"/>
  <c r="F684" i="2"/>
  <c r="F685" i="2"/>
  <c r="F680" i="2"/>
  <c r="F682" i="2"/>
  <c r="F681" i="2"/>
  <c r="F683" i="2"/>
  <c r="F678" i="2"/>
  <c r="F679" i="2"/>
  <c r="F504" i="2"/>
  <c r="F503" i="2"/>
  <c r="F257" i="2"/>
  <c r="F256" i="2"/>
  <c r="F255" i="2"/>
  <c r="F464" i="2"/>
  <c r="F469" i="2"/>
  <c r="F262" i="2"/>
  <c r="F254" i="2"/>
  <c r="F495" i="2"/>
  <c r="F250" i="2"/>
  <c r="F493" i="2"/>
  <c r="F251" i="2"/>
  <c r="F266" i="2"/>
  <c r="F261" i="2"/>
  <c r="F412" i="2"/>
  <c r="F247" i="2"/>
  <c r="F487" i="2"/>
  <c r="F675" i="2"/>
  <c r="F676" i="2"/>
  <c r="F673" i="2"/>
  <c r="F671" i="2"/>
  <c r="F665" i="2"/>
  <c r="F667" i="2"/>
  <c r="F662" i="2"/>
  <c r="F668" i="2"/>
  <c r="F664" i="2"/>
  <c r="F669" i="2"/>
  <c r="F661" i="2"/>
  <c r="F475" i="2"/>
  <c r="F244" i="2"/>
  <c r="F473" i="2"/>
  <c r="F246" i="2"/>
  <c r="F241" i="2"/>
  <c r="F470" i="2"/>
  <c r="F436" i="2"/>
  <c r="F387" i="2"/>
  <c r="F248" i="2"/>
  <c r="F466" i="2"/>
  <c r="F237" i="2"/>
  <c r="F448" i="2"/>
  <c r="F252" i="2"/>
  <c r="F253" i="2"/>
  <c r="F236" i="2"/>
  <c r="F239" i="2"/>
  <c r="F230" i="2"/>
  <c r="F458" i="2"/>
  <c r="F658" i="2"/>
  <c r="F659" i="2"/>
  <c r="F653" i="2"/>
  <c r="F655" i="2"/>
  <c r="F657" i="2"/>
  <c r="F654" i="2"/>
  <c r="F656" i="2"/>
  <c r="F651" i="2"/>
  <c r="F650" i="2"/>
  <c r="F652" i="2"/>
  <c r="F649" i="2"/>
  <c r="F446" i="2"/>
  <c r="F227" i="2"/>
  <c r="F226" i="2"/>
  <c r="F443" i="2"/>
  <c r="F442" i="2"/>
  <c r="F228" i="2"/>
  <c r="F232" i="2"/>
  <c r="F220" i="2"/>
  <c r="F366" i="2"/>
  <c r="F240" i="2"/>
  <c r="F408" i="2"/>
  <c r="F219" i="2"/>
  <c r="F434" i="2"/>
  <c r="F433" i="2"/>
  <c r="F223" i="2"/>
  <c r="F221" i="2"/>
  <c r="F235" i="2"/>
  <c r="F646" i="2"/>
  <c r="F428" i="2"/>
  <c r="F647" i="2"/>
  <c r="F641" i="2"/>
  <c r="F637" i="2"/>
  <c r="F633" i="2"/>
  <c r="F639" i="2"/>
  <c r="F634" i="2"/>
  <c r="F643" i="2"/>
  <c r="F642" i="2"/>
  <c r="F419" i="2"/>
  <c r="F632" i="2"/>
  <c r="F417" i="2"/>
  <c r="F416" i="2"/>
  <c r="F213" i="2"/>
  <c r="F414" i="2"/>
  <c r="F216" i="2"/>
  <c r="F351" i="2"/>
  <c r="F217" i="2"/>
  <c r="F211" i="2"/>
  <c r="F207" i="2"/>
  <c r="F379" i="2"/>
  <c r="F407" i="2"/>
  <c r="F208" i="2"/>
  <c r="F225" i="2"/>
  <c r="F218" i="2"/>
  <c r="F224" i="2"/>
  <c r="F210" i="2"/>
  <c r="F203" i="2"/>
  <c r="F629" i="2"/>
  <c r="F630" i="2"/>
  <c r="F628" i="2"/>
  <c r="F627" i="2"/>
  <c r="F626" i="2"/>
  <c r="F623" i="2"/>
  <c r="F624" i="2"/>
  <c r="F409" i="2"/>
  <c r="F625" i="2"/>
  <c r="F621" i="2"/>
  <c r="F201" i="2"/>
  <c r="F389" i="2"/>
  <c r="F200" i="2"/>
  <c r="F334" i="2"/>
  <c r="F386" i="2"/>
  <c r="F192" i="2"/>
  <c r="F384" i="2"/>
  <c r="F199" i="2"/>
  <c r="F214" i="2"/>
  <c r="F206" i="2"/>
  <c r="F193" i="2"/>
  <c r="F346" i="2"/>
  <c r="F378" i="2"/>
  <c r="F196" i="2"/>
  <c r="F205" i="2"/>
  <c r="F194" i="2"/>
  <c r="F191" i="2"/>
  <c r="F373" i="2"/>
  <c r="F618" i="2"/>
  <c r="F599" i="2"/>
  <c r="F617" i="2"/>
  <c r="F607" i="2"/>
  <c r="F605" i="2"/>
  <c r="F604" i="2"/>
  <c r="F622" i="2"/>
  <c r="F614" i="2"/>
  <c r="F393" i="2"/>
  <c r="F612" i="2"/>
  <c r="F603" i="2"/>
  <c r="F361" i="2"/>
  <c r="F190" i="2"/>
  <c r="F187" i="2"/>
  <c r="F358" i="2"/>
  <c r="F183" i="2"/>
  <c r="F184" i="2"/>
  <c r="F355" i="2"/>
  <c r="F181" i="2"/>
  <c r="F353" i="2"/>
  <c r="F195" i="2"/>
  <c r="F322" i="2"/>
  <c r="F180" i="2"/>
  <c r="F175" i="2"/>
  <c r="F198" i="2"/>
  <c r="F197" i="2"/>
  <c r="F321" i="2"/>
  <c r="F174" i="2"/>
  <c r="F601" i="2"/>
  <c r="F343" i="2"/>
  <c r="F600" i="2"/>
  <c r="F585" i="2"/>
  <c r="F595" i="2"/>
  <c r="F598" i="2"/>
  <c r="F594" i="2"/>
  <c r="F380" i="2"/>
  <c r="F597" i="2"/>
  <c r="F592" i="2"/>
  <c r="F610" i="2"/>
  <c r="F596" i="2"/>
  <c r="F332" i="2"/>
  <c r="F331" i="2"/>
  <c r="F170" i="2"/>
  <c r="F329" i="2"/>
  <c r="F186" i="2"/>
  <c r="F327" i="2"/>
  <c r="F164" i="2"/>
  <c r="F163" i="2"/>
  <c r="F168" i="2"/>
  <c r="F169" i="2"/>
  <c r="F307" i="2"/>
  <c r="F291" i="2"/>
  <c r="F171" i="2"/>
  <c r="F162" i="2"/>
  <c r="F178" i="2"/>
  <c r="F172" i="2"/>
  <c r="F177" i="2"/>
  <c r="F315" i="2"/>
  <c r="F588" i="2"/>
  <c r="F589" i="2"/>
  <c r="F615" i="2"/>
  <c r="F576" i="2"/>
  <c r="F578" i="2"/>
  <c r="F581" i="2"/>
  <c r="F364" i="2"/>
  <c r="F593" i="2"/>
  <c r="F580" i="2"/>
  <c r="F583" i="2"/>
  <c r="F575" i="2"/>
  <c r="F159" i="2"/>
  <c r="F302" i="2"/>
  <c r="F301" i="2"/>
  <c r="F300" i="2"/>
  <c r="F160" i="2"/>
  <c r="F298" i="2"/>
  <c r="F152" i="2"/>
  <c r="F296" i="2"/>
  <c r="F147" i="2"/>
  <c r="F154" i="2"/>
  <c r="F166" i="2"/>
  <c r="F151" i="2"/>
  <c r="F264" i="2"/>
  <c r="F167" i="2"/>
  <c r="F165" i="2"/>
  <c r="F148" i="2"/>
  <c r="F145" i="2"/>
  <c r="F286" i="2"/>
  <c r="F570" i="2"/>
  <c r="F572" i="2"/>
  <c r="F571" i="2"/>
  <c r="F356" i="2"/>
  <c r="F566" i="2"/>
  <c r="F568" i="2"/>
  <c r="F569" i="2"/>
  <c r="F567" i="2"/>
  <c r="F565" i="2"/>
  <c r="F562" i="2"/>
  <c r="F275" i="2"/>
  <c r="F142" i="2"/>
  <c r="F273" i="2"/>
  <c r="F143" i="2"/>
  <c r="F271" i="2"/>
  <c r="F141" i="2"/>
  <c r="F136" i="2"/>
  <c r="F268" i="2"/>
  <c r="F138" i="2"/>
  <c r="F156" i="2"/>
  <c r="F137" i="2"/>
  <c r="F234" i="2"/>
  <c r="F263" i="2"/>
  <c r="F146" i="2"/>
  <c r="F149" i="2"/>
  <c r="F134" i="2"/>
  <c r="F135" i="2"/>
  <c r="F258" i="2"/>
  <c r="F560" i="2"/>
  <c r="F557" i="2"/>
  <c r="F558" i="2"/>
  <c r="F552" i="2"/>
  <c r="F549" i="2"/>
  <c r="F555" i="2"/>
  <c r="F550" i="2"/>
  <c r="F554" i="2"/>
  <c r="F337" i="2"/>
  <c r="F842" i="2"/>
  <c r="F546" i="2"/>
  <c r="F132" i="2"/>
  <c r="F245" i="2"/>
  <c r="F133" i="2"/>
  <c r="F243" i="2"/>
  <c r="F242" i="2"/>
  <c r="F128" i="2"/>
  <c r="F120" i="2"/>
  <c r="F125" i="2"/>
  <c r="F238" i="2"/>
  <c r="F126" i="2"/>
  <c r="F121" i="2"/>
  <c r="F140" i="2"/>
  <c r="F204" i="2"/>
  <c r="F233" i="2"/>
  <c r="F139" i="2"/>
  <c r="F131" i="2"/>
  <c r="F118" i="2"/>
  <c r="F229" i="2"/>
  <c r="F544" i="2"/>
  <c r="F543" i="2"/>
  <c r="F540" i="2"/>
  <c r="F539" i="2"/>
  <c r="F542" i="2"/>
  <c r="F535" i="2"/>
  <c r="F325" i="2"/>
  <c r="F538" i="2"/>
  <c r="F537" i="2"/>
  <c r="F534" i="2"/>
  <c r="F803" i="2"/>
  <c r="F115" i="2"/>
  <c r="F116" i="2"/>
  <c r="F215" i="2"/>
  <c r="F112" i="2"/>
  <c r="F114" i="2"/>
  <c r="F212" i="2"/>
  <c r="F111" i="2"/>
  <c r="F108" i="2"/>
  <c r="F209" i="2"/>
  <c r="F107" i="2"/>
  <c r="F110" i="2"/>
  <c r="F122" i="2"/>
  <c r="F119" i="2"/>
  <c r="F179" i="2"/>
  <c r="F109" i="2"/>
  <c r="F202" i="2"/>
  <c r="F531" i="2"/>
  <c r="F533" i="2"/>
  <c r="F528" i="2"/>
  <c r="F518" i="2"/>
  <c r="F748" i="2"/>
  <c r="F527" i="2"/>
  <c r="F524" i="2"/>
  <c r="F523" i="2"/>
  <c r="F308" i="2"/>
  <c r="F520" i="2"/>
  <c r="F517" i="2"/>
  <c r="F105" i="2"/>
  <c r="F189" i="2"/>
  <c r="F188" i="2"/>
  <c r="F104" i="2"/>
  <c r="F92" i="2"/>
  <c r="F185" i="2"/>
  <c r="F96" i="2"/>
  <c r="F103" i="2"/>
  <c r="F182" i="2"/>
  <c r="F99" i="2"/>
  <c r="F97" i="2"/>
  <c r="F150" i="2"/>
  <c r="F113" i="2"/>
  <c r="F101" i="2"/>
  <c r="F176" i="2"/>
  <c r="F98" i="2"/>
  <c r="F90" i="2"/>
  <c r="F173" i="2"/>
  <c r="F506" i="2"/>
  <c r="F514" i="2"/>
  <c r="F515" i="2"/>
  <c r="F513" i="2"/>
  <c r="F509" i="2"/>
  <c r="F512" i="2"/>
  <c r="F511" i="2"/>
  <c r="F727" i="2"/>
  <c r="F510" i="2"/>
  <c r="F295" i="2"/>
  <c r="F507" i="2"/>
  <c r="F161" i="2"/>
  <c r="F86" i="2"/>
  <c r="F87" i="2"/>
  <c r="F158" i="2"/>
  <c r="F157" i="2"/>
  <c r="F85" i="2"/>
  <c r="F155" i="2"/>
  <c r="F88" i="2"/>
  <c r="F153" i="2"/>
  <c r="F82" i="2"/>
  <c r="F83" i="2"/>
  <c r="F123" i="2"/>
  <c r="F91" i="2"/>
  <c r="F79" i="2"/>
  <c r="F81" i="2"/>
  <c r="F80" i="2"/>
  <c r="F78" i="2"/>
  <c r="F144" i="2"/>
  <c r="F501" i="2"/>
  <c r="F502" i="2"/>
  <c r="F500" i="2"/>
  <c r="F490" i="2"/>
  <c r="F691" i="2"/>
  <c r="F492" i="2"/>
  <c r="F494" i="2"/>
  <c r="F282" i="2"/>
  <c r="F488" i="2"/>
  <c r="F496" i="2"/>
  <c r="F75" i="2"/>
  <c r="F76" i="2"/>
  <c r="F74" i="2"/>
  <c r="F130" i="2"/>
  <c r="F129" i="2"/>
  <c r="F70" i="2"/>
  <c r="F127" i="2"/>
  <c r="F72" i="2"/>
  <c r="F66" i="2"/>
  <c r="F124" i="2"/>
  <c r="F93" i="2"/>
  <c r="F68" i="2"/>
  <c r="F63" i="2"/>
  <c r="F65" i="2"/>
  <c r="F84" i="2"/>
  <c r="F62" i="2"/>
  <c r="F117" i="2"/>
  <c r="F485" i="2"/>
  <c r="F486" i="2"/>
  <c r="F484" i="2"/>
  <c r="F480" i="2"/>
  <c r="F491" i="2"/>
  <c r="F478" i="2"/>
  <c r="F269" i="2"/>
  <c r="F476" i="2"/>
  <c r="F479" i="2"/>
  <c r="F482" i="2"/>
  <c r="F106" i="2"/>
  <c r="F59" i="2"/>
  <c r="F58" i="2"/>
  <c r="F57" i="2"/>
  <c r="F102" i="2"/>
  <c r="F56" i="2"/>
  <c r="F100" i="2"/>
  <c r="F50" i="2"/>
  <c r="F52" i="2"/>
  <c r="F55" i="2"/>
  <c r="F51" i="2"/>
  <c r="F95" i="2"/>
  <c r="F94" i="2"/>
  <c r="F69" i="2"/>
  <c r="F53" i="2"/>
  <c r="F64" i="2"/>
  <c r="F54" i="2"/>
  <c r="F89" i="2"/>
  <c r="F471" i="2"/>
  <c r="F472" i="2"/>
  <c r="F474" i="2"/>
  <c r="F481" i="2"/>
  <c r="F462" i="2"/>
  <c r="F460" i="2"/>
  <c r="F465" i="2"/>
  <c r="F249" i="2"/>
  <c r="F670" i="2"/>
  <c r="F461" i="2"/>
  <c r="F459" i="2"/>
  <c r="F77" i="2"/>
  <c r="F47" i="2"/>
  <c r="F44" i="2"/>
  <c r="F37" i="2"/>
  <c r="F73" i="2"/>
  <c r="F35" i="2"/>
  <c r="F71" i="2"/>
  <c r="F43" i="2"/>
  <c r="F49" i="2"/>
  <c r="F32" i="2"/>
  <c r="F67" i="2"/>
  <c r="F40" i="2"/>
  <c r="F38" i="2"/>
  <c r="F33" i="2"/>
  <c r="F45" i="2"/>
  <c r="F34" i="2"/>
  <c r="F61" i="2"/>
  <c r="F60" i="2"/>
  <c r="F456" i="2"/>
  <c r="F457" i="2"/>
  <c r="F453" i="2"/>
  <c r="F636" i="2"/>
  <c r="F450" i="2"/>
  <c r="F447" i="2"/>
  <c r="F463" i="2"/>
  <c r="F451" i="2"/>
  <c r="F231" i="2"/>
  <c r="F455" i="2"/>
  <c r="F839" i="2"/>
  <c r="F48" i="2"/>
  <c r="F27" i="2"/>
  <c r="F46" i="2"/>
  <c r="F22" i="2"/>
  <c r="F30" i="2"/>
  <c r="F29" i="2"/>
  <c r="F42" i="2"/>
  <c r="F41" i="2"/>
  <c r="F28" i="2"/>
  <c r="F39" i="2"/>
  <c r="F25" i="2"/>
  <c r="F24" i="2"/>
  <c r="F36" i="2"/>
  <c r="F26" i="2"/>
  <c r="F21" i="2"/>
  <c r="F23" i="2"/>
  <c r="F20" i="2"/>
  <c r="F31" i="2"/>
  <c r="F445" i="2"/>
  <c r="F444" i="2"/>
  <c r="F431" i="2"/>
  <c r="F441" i="2"/>
  <c r="F432" i="2"/>
  <c r="F452" i="2"/>
  <c r="F222" i="2"/>
  <c r="F454" i="2"/>
  <c r="F439" i="2"/>
  <c r="F435" i="2"/>
  <c r="F609" i="2"/>
  <c r="F19" i="2"/>
  <c r="F18" i="2"/>
  <c r="F17" i="2"/>
  <c r="F16" i="2"/>
  <c r="F15" i="2"/>
  <c r="F14" i="2"/>
  <c r="F13" i="2"/>
  <c r="F12" i="2"/>
  <c r="F11" i="2"/>
  <c r="F10" i="2"/>
  <c r="F9" i="2"/>
  <c r="F8" i="2"/>
  <c r="F7" i="2"/>
  <c r="F6" i="2"/>
  <c r="F5" i="2"/>
  <c r="F4" i="2"/>
  <c r="F3" i="2"/>
  <c r="D2" i="52"/>
  <c r="D3" i="52"/>
  <c r="D4" i="52"/>
  <c r="D5" i="52"/>
  <c r="D6" i="52"/>
  <c r="D7" i="52"/>
  <c r="D8" i="52"/>
  <c r="D9" i="52"/>
  <c r="D10" i="52"/>
  <c r="D11" i="52"/>
  <c r="D12" i="52"/>
  <c r="D13" i="52"/>
  <c r="D14" i="52"/>
  <c r="D15" i="52"/>
  <c r="D16" i="52"/>
  <c r="D17" i="52"/>
  <c r="D18" i="52"/>
  <c r="D19" i="52"/>
  <c r="D20" i="52"/>
  <c r="F1" i="10"/>
  <c r="D21" i="52"/>
  <c r="D22" i="52"/>
  <c r="D23" i="52"/>
  <c r="D24" i="52"/>
  <c r="D25" i="52"/>
  <c r="D26" i="52"/>
  <c r="D27" i="52"/>
  <c r="D28" i="52"/>
  <c r="D29" i="52"/>
  <c r="D30" i="52"/>
  <c r="D31" i="52"/>
  <c r="D32" i="52"/>
  <c r="D33" i="52"/>
  <c r="E23" i="11"/>
  <c r="E24" i="11"/>
  <c r="E21" i="11"/>
  <c r="O13" i="48"/>
  <c r="O2" i="48"/>
  <c r="I13" i="48"/>
  <c r="J13" i="48"/>
  <c r="K13" i="48"/>
  <c r="L13" i="48"/>
  <c r="M13" i="48"/>
  <c r="N13" i="48"/>
  <c r="E3" i="48"/>
  <c r="E4" i="48"/>
  <c r="E5" i="48"/>
  <c r="E6" i="48"/>
  <c r="E7" i="48"/>
  <c r="E8" i="48"/>
  <c r="E9" i="48"/>
  <c r="E10" i="48"/>
  <c r="E11" i="48"/>
  <c r="E12" i="48"/>
  <c r="E13" i="48"/>
  <c r="E14" i="48"/>
  <c r="E15" i="48"/>
  <c r="E16" i="48"/>
  <c r="E17" i="48"/>
  <c r="E18" i="48"/>
  <c r="E19" i="48"/>
  <c r="E20" i="48"/>
  <c r="E21" i="48"/>
  <c r="E22" i="48"/>
  <c r="E23" i="48"/>
  <c r="E24" i="48"/>
  <c r="E25" i="48"/>
  <c r="E26" i="48"/>
  <c r="E27" i="48"/>
  <c r="E28" i="48"/>
  <c r="E29" i="48"/>
  <c r="E30" i="48"/>
  <c r="E31" i="48"/>
  <c r="E32" i="48"/>
  <c r="E33" i="48"/>
  <c r="E34" i="48"/>
  <c r="E35" i="48"/>
  <c r="E36" i="48"/>
  <c r="E37" i="48"/>
  <c r="E38" i="48"/>
  <c r="E39" i="48"/>
  <c r="E40" i="48"/>
  <c r="E41" i="48"/>
  <c r="E42" i="48"/>
  <c r="E43" i="48"/>
  <c r="E44" i="48"/>
  <c r="E45" i="48"/>
  <c r="E46" i="48"/>
  <c r="E47" i="48"/>
  <c r="E48" i="48"/>
  <c r="E49" i="48"/>
  <c r="E50" i="48"/>
  <c r="E51" i="48"/>
  <c r="E2" i="48"/>
  <c r="J22" i="13"/>
  <c r="C31" i="1"/>
  <c r="J21" i="13"/>
  <c r="Q25" i="13"/>
  <c r="Y25" i="13" s="1"/>
  <c r="C30" i="1"/>
  <c r="D674" i="10"/>
  <c r="C2" i="44"/>
  <c r="G23" i="44"/>
  <c r="G25" i="44" s="1"/>
  <c r="G22" i="44"/>
  <c r="W2" i="13"/>
  <c r="J14" i="13"/>
  <c r="J15" i="13"/>
  <c r="J19" i="13"/>
  <c r="J20" i="13"/>
  <c r="C28" i="1"/>
  <c r="C29" i="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E243" i="11"/>
  <c r="E244" i="11"/>
  <c r="E245" i="11"/>
  <c r="E246" i="11"/>
  <c r="E247" i="11"/>
  <c r="E248" i="11"/>
  <c r="E249" i="11"/>
  <c r="E250" i="11"/>
  <c r="E251" i="11"/>
  <c r="E252" i="11"/>
  <c r="E253" i="11"/>
  <c r="E254" i="11"/>
  <c r="E255" i="11"/>
  <c r="E256" i="11"/>
  <c r="E257" i="11"/>
  <c r="E258" i="11"/>
  <c r="E259" i="11"/>
  <c r="E260" i="11"/>
  <c r="E261" i="11"/>
  <c r="E262" i="11"/>
  <c r="E263" i="11"/>
  <c r="E264" i="11"/>
  <c r="E265" i="11"/>
  <c r="E266" i="11"/>
  <c r="E267" i="11"/>
  <c r="E268" i="11"/>
  <c r="E269" i="11"/>
  <c r="E270" i="11"/>
  <c r="E271" i="11"/>
  <c r="E272" i="11"/>
  <c r="E273" i="11"/>
  <c r="E274" i="11"/>
  <c r="E275" i="11"/>
  <c r="E276" i="11"/>
  <c r="E277" i="11"/>
  <c r="E278" i="11"/>
  <c r="E279" i="11"/>
  <c r="E280" i="11"/>
  <c r="E281" i="11"/>
  <c r="E282" i="11"/>
  <c r="E283" i="11"/>
  <c r="E284" i="11"/>
  <c r="E285" i="11"/>
  <c r="E286" i="11"/>
  <c r="E287" i="11"/>
  <c r="E288" i="11"/>
  <c r="E289" i="11"/>
  <c r="E290" i="11"/>
  <c r="E291" i="11"/>
  <c r="E292" i="11"/>
  <c r="E293" i="11"/>
  <c r="E294" i="11"/>
  <c r="E295" i="11"/>
  <c r="E296" i="11"/>
  <c r="E297" i="11"/>
  <c r="E298" i="11"/>
  <c r="E299" i="11"/>
  <c r="E300" i="11"/>
  <c r="E301" i="11"/>
  <c r="E302" i="11"/>
  <c r="E303" i="11"/>
  <c r="E304" i="11"/>
  <c r="E305" i="11"/>
  <c r="E306" i="11"/>
  <c r="E307" i="11"/>
  <c r="E308" i="11"/>
  <c r="E309" i="11"/>
  <c r="E310" i="11"/>
  <c r="E311" i="11"/>
  <c r="E312" i="11"/>
  <c r="E313" i="11"/>
  <c r="E314" i="11"/>
  <c r="E315" i="11"/>
  <c r="E316" i="11"/>
  <c r="E317" i="11"/>
  <c r="E318" i="11"/>
  <c r="E319" i="11"/>
  <c r="E320" i="11"/>
  <c r="E321" i="11"/>
  <c r="E322" i="11"/>
  <c r="E323" i="11"/>
  <c r="E324" i="11"/>
  <c r="E325" i="11"/>
  <c r="E326" i="11"/>
  <c r="E327" i="11"/>
  <c r="E328" i="11"/>
  <c r="E329" i="11"/>
  <c r="E330" i="11"/>
  <c r="E331" i="11"/>
  <c r="E332" i="11"/>
  <c r="E333" i="11"/>
  <c r="E334" i="11"/>
  <c r="E335" i="11"/>
  <c r="E336" i="11"/>
  <c r="E337" i="11"/>
  <c r="E338" i="11"/>
  <c r="E339" i="11"/>
  <c r="E340" i="11"/>
  <c r="E341" i="11"/>
  <c r="E342" i="11"/>
  <c r="E343" i="11"/>
  <c r="E344" i="11"/>
  <c r="E345" i="11"/>
  <c r="E346" i="11"/>
  <c r="E347" i="11"/>
  <c r="E348" i="11"/>
  <c r="E349" i="11"/>
  <c r="E350" i="11"/>
  <c r="E351" i="11"/>
  <c r="E352" i="11"/>
  <c r="E353" i="11"/>
  <c r="E354" i="11"/>
  <c r="E355" i="11"/>
  <c r="E356" i="11"/>
  <c r="E357" i="11"/>
  <c r="E358" i="11"/>
  <c r="E359" i="11"/>
  <c r="E360" i="11"/>
  <c r="E361" i="11"/>
  <c r="E362" i="11"/>
  <c r="E363" i="11"/>
  <c r="E364" i="11"/>
  <c r="E365" i="11"/>
  <c r="E366" i="11"/>
  <c r="E367" i="11"/>
  <c r="E368" i="11"/>
  <c r="E369" i="11"/>
  <c r="E370" i="11"/>
  <c r="E371" i="11"/>
  <c r="E372" i="11"/>
  <c r="E373" i="11"/>
  <c r="E374" i="11"/>
  <c r="E375" i="11"/>
  <c r="E376" i="11"/>
  <c r="E377" i="11"/>
  <c r="E378" i="11"/>
  <c r="E379" i="11"/>
  <c r="E380" i="11"/>
  <c r="E381" i="11"/>
  <c r="E382" i="11"/>
  <c r="E383" i="11"/>
  <c r="E384" i="11"/>
  <c r="E385" i="11"/>
  <c r="E386" i="11"/>
  <c r="E387" i="11"/>
  <c r="E388" i="11"/>
  <c r="E389" i="11"/>
  <c r="E390" i="11"/>
  <c r="E391" i="11"/>
  <c r="E392" i="11"/>
  <c r="E393" i="11"/>
  <c r="E394" i="11"/>
  <c r="E395" i="11"/>
  <c r="E396" i="11"/>
  <c r="E397" i="11"/>
  <c r="E398" i="11"/>
  <c r="E399" i="11"/>
  <c r="E400" i="11"/>
  <c r="E401" i="11"/>
  <c r="E402" i="11"/>
  <c r="E403" i="11"/>
  <c r="E404" i="11"/>
  <c r="E405" i="11"/>
  <c r="E406" i="11"/>
  <c r="E407" i="11"/>
  <c r="E408" i="11"/>
  <c r="E409" i="11"/>
  <c r="E410" i="11"/>
  <c r="E411" i="11"/>
  <c r="E412" i="11"/>
  <c r="E413" i="11"/>
  <c r="E414" i="11"/>
  <c r="E415" i="11"/>
  <c r="E416" i="11"/>
  <c r="E417" i="11"/>
  <c r="E418" i="11"/>
  <c r="E419" i="11"/>
  <c r="E420" i="11"/>
  <c r="E421" i="11"/>
  <c r="E422" i="11"/>
  <c r="E423" i="11"/>
  <c r="E424" i="11"/>
  <c r="E425" i="11"/>
  <c r="E426" i="11"/>
  <c r="E427" i="11"/>
  <c r="E428" i="11"/>
  <c r="E429" i="11"/>
  <c r="E430" i="11"/>
  <c r="E431" i="11"/>
  <c r="E432" i="11"/>
  <c r="E433" i="11"/>
  <c r="E434" i="11"/>
  <c r="E435" i="11"/>
  <c r="E436" i="11"/>
  <c r="E437" i="11"/>
  <c r="E438" i="11"/>
  <c r="E439" i="11"/>
  <c r="E440" i="11"/>
  <c r="E441" i="11"/>
  <c r="E442" i="11"/>
  <c r="E443" i="11"/>
  <c r="E444" i="11"/>
  <c r="E445" i="11"/>
  <c r="E446" i="11"/>
  <c r="E447" i="11"/>
  <c r="E448" i="11"/>
  <c r="E449" i="11"/>
  <c r="E450" i="11"/>
  <c r="E451" i="11"/>
  <c r="E452" i="11"/>
  <c r="E453" i="11"/>
  <c r="E454" i="11"/>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Y34" i="13"/>
  <c r="D9" i="10"/>
  <c r="D10" i="10"/>
  <c r="D11" i="10"/>
  <c r="D12" i="10"/>
  <c r="D13" i="10"/>
  <c r="D14" i="10"/>
  <c r="D15" i="10"/>
  <c r="D16" i="10"/>
  <c r="D17" i="10"/>
  <c r="D18" i="10"/>
  <c r="D19" i="10"/>
  <c r="D20" i="10"/>
  <c r="D21" i="10"/>
  <c r="D22" i="10"/>
  <c r="D23" i="10"/>
  <c r="D24" i="10"/>
  <c r="D25" i="10"/>
  <c r="D26" i="10"/>
  <c r="D27" i="10"/>
  <c r="J7" i="13"/>
  <c r="J8" i="13"/>
  <c r="J9" i="13"/>
  <c r="J10" i="13"/>
  <c r="J11" i="13"/>
  <c r="J12" i="13"/>
  <c r="J13" i="13"/>
  <c r="J16" i="13"/>
  <c r="J17" i="13"/>
  <c r="J18" i="13"/>
  <c r="J6" i="13"/>
  <c r="B16" i="1"/>
  <c r="C16" i="1" s="1"/>
  <c r="B17" i="1"/>
  <c r="C17" i="1" s="1"/>
  <c r="B18" i="1"/>
  <c r="B19" i="1"/>
  <c r="C19" i="1" s="1"/>
  <c r="B20" i="1"/>
  <c r="C20" i="1" s="1"/>
  <c r="B21" i="1"/>
  <c r="C21" i="1" s="1"/>
  <c r="B22" i="1"/>
  <c r="C22" i="1" s="1"/>
  <c r="B23" i="1"/>
  <c r="C23" i="1" s="1"/>
  <c r="B24" i="1"/>
  <c r="C24" i="1" s="1"/>
  <c r="B25" i="1"/>
  <c r="C25" i="1" s="1"/>
  <c r="B26" i="1"/>
  <c r="C26" i="1" s="1"/>
  <c r="B27" i="1"/>
  <c r="C27" i="1" s="1"/>
  <c r="B15" i="1"/>
  <c r="C15" i="1" s="1"/>
  <c r="H6" i="1"/>
  <c r="I31" i="1" s="1"/>
  <c r="P4" i="1"/>
  <c r="R4" i="1" s="1"/>
  <c r="E22" i="11"/>
  <c r="E25" i="11"/>
  <c r="E36" i="11"/>
  <c r="E35" i="11"/>
  <c r="E26" i="11"/>
  <c r="E27" i="11"/>
  <c r="E28" i="11"/>
  <c r="E29" i="11"/>
  <c r="E30" i="11"/>
  <c r="E31" i="11"/>
  <c r="E32" i="11"/>
  <c r="E33" i="11"/>
  <c r="E34" i="11"/>
  <c r="E37" i="11"/>
  <c r="E38" i="11"/>
  <c r="E39" i="11"/>
  <c r="D2" i="10"/>
  <c r="D3" i="10"/>
  <c r="D4" i="10"/>
  <c r="D5" i="10"/>
  <c r="D6" i="10"/>
  <c r="D7" i="10"/>
  <c r="D8" i="10"/>
  <c r="E4" i="11"/>
  <c r="E5" i="11"/>
  <c r="E6" i="11"/>
  <c r="E7" i="11"/>
  <c r="E8" i="11"/>
  <c r="E14" i="11"/>
  <c r="E9" i="11"/>
  <c r="E15" i="11"/>
  <c r="E10" i="11"/>
  <c r="E13" i="11"/>
  <c r="E11" i="11"/>
  <c r="E12" i="11"/>
  <c r="E17" i="11"/>
  <c r="E16" i="11"/>
  <c r="E18" i="11"/>
  <c r="E19" i="11"/>
  <c r="E20" i="11"/>
  <c r="E3" i="11"/>
  <c r="E2" i="11"/>
  <c r="J1" i="10" l="1"/>
  <c r="F31" i="1"/>
  <c r="P22" i="13" s="1"/>
  <c r="I23" i="13"/>
  <c r="F30" i="1"/>
  <c r="P21" i="13" s="1"/>
  <c r="X21" i="13" s="1"/>
  <c r="I30" i="1"/>
  <c r="W3" i="13"/>
  <c r="F29" i="1"/>
  <c r="P20" i="13" s="1"/>
  <c r="X20" i="13" s="1"/>
  <c r="F28" i="1"/>
  <c r="P19" i="13" s="1"/>
  <c r="X19" i="13" s="1"/>
  <c r="I29" i="1"/>
  <c r="I28" i="1"/>
  <c r="F18" i="1"/>
  <c r="P9" i="13" s="1"/>
  <c r="X9" i="13" s="1"/>
  <c r="F27" i="1"/>
  <c r="P18" i="13" s="1"/>
  <c r="X18" i="13" s="1"/>
  <c r="F19" i="1"/>
  <c r="P10" i="13" s="1"/>
  <c r="X10" i="13" s="1"/>
  <c r="F26" i="1"/>
  <c r="P17" i="13" s="1"/>
  <c r="X17" i="13" s="1"/>
  <c r="F22" i="1"/>
  <c r="P13" i="13" s="1"/>
  <c r="X13" i="13" s="1"/>
  <c r="Q4" i="1"/>
  <c r="F23" i="1"/>
  <c r="P14" i="13" s="1"/>
  <c r="X14" i="13" s="1"/>
  <c r="F15" i="1"/>
  <c r="F25" i="1"/>
  <c r="P16" i="13" s="1"/>
  <c r="X16" i="13" s="1"/>
  <c r="F21" i="1"/>
  <c r="P12" i="13" s="1"/>
  <c r="X12" i="13" s="1"/>
  <c r="F17" i="1"/>
  <c r="P8" i="13" s="1"/>
  <c r="X8" i="13" s="1"/>
  <c r="F24" i="1"/>
  <c r="P15" i="13" s="1"/>
  <c r="X15" i="13" s="1"/>
  <c r="F20" i="1"/>
  <c r="P11" i="13" s="1"/>
  <c r="X11" i="13" s="1"/>
  <c r="F16" i="1"/>
  <c r="P7" i="13" s="1"/>
  <c r="X7" i="13" s="1"/>
  <c r="I27" i="1"/>
  <c r="I23" i="1"/>
  <c r="I19" i="1"/>
  <c r="I17" i="1"/>
  <c r="I15" i="1"/>
  <c r="I26" i="1"/>
  <c r="I22" i="1"/>
  <c r="I18" i="1"/>
  <c r="I25" i="1"/>
  <c r="I21" i="1"/>
  <c r="I24" i="1"/>
  <c r="I20" i="1"/>
  <c r="I16" i="1"/>
  <c r="C18" i="1"/>
  <c r="P5" i="1"/>
  <c r="G23" i="6"/>
  <c r="G25" i="6" s="1"/>
  <c r="G22" i="6"/>
  <c r="X22" i="13" l="1"/>
  <c r="I32" i="1"/>
  <c r="Q32" i="13" s="1"/>
  <c r="F32" i="1"/>
  <c r="P23" i="13" s="1"/>
  <c r="P6" i="13"/>
  <c r="X6" i="13" s="1"/>
  <c r="Q5" i="1"/>
  <c r="R5" i="1"/>
  <c r="P6" i="1"/>
  <c r="X23" i="13" l="1"/>
  <c r="P7" i="1"/>
  <c r="R6" i="1"/>
  <c r="Q6" i="1"/>
  <c r="C2" i="6"/>
  <c r="L5" i="1"/>
  <c r="P8" i="1" l="1"/>
  <c r="Q7" i="1"/>
  <c r="R7" i="1"/>
  <c r="E1" i="4"/>
  <c r="B52" i="4" s="1"/>
  <c r="P9" i="1" l="1"/>
  <c r="Q8" i="1"/>
  <c r="R8" i="1"/>
  <c r="B45" i="4"/>
  <c r="B25" i="4"/>
  <c r="B9" i="4"/>
  <c r="B29" i="4"/>
  <c r="B17" i="4"/>
  <c r="B5" i="4"/>
  <c r="B13" i="4"/>
  <c r="B33" i="4"/>
  <c r="B21" i="4"/>
  <c r="B37" i="4"/>
  <c r="B41" i="4"/>
  <c r="B49" i="4"/>
  <c r="B2" i="4"/>
  <c r="B6" i="4"/>
  <c r="B10" i="4"/>
  <c r="B14" i="4"/>
  <c r="B18" i="4"/>
  <c r="B22" i="4"/>
  <c r="B26" i="4"/>
  <c r="B30" i="4"/>
  <c r="B34" i="4"/>
  <c r="B38" i="4"/>
  <c r="B42" i="4"/>
  <c r="B46" i="4"/>
  <c r="B50" i="4"/>
  <c r="B3" i="4"/>
  <c r="B7" i="4"/>
  <c r="B11" i="4"/>
  <c r="B15" i="4"/>
  <c r="B19" i="4"/>
  <c r="B23" i="4"/>
  <c r="B27" i="4"/>
  <c r="B31" i="4"/>
  <c r="B35" i="4"/>
  <c r="B39" i="4"/>
  <c r="B43" i="4"/>
  <c r="B47" i="4"/>
  <c r="B51" i="4"/>
  <c r="B4" i="4"/>
  <c r="B8" i="4"/>
  <c r="B12" i="4"/>
  <c r="B16" i="4"/>
  <c r="B20" i="4"/>
  <c r="B24" i="4"/>
  <c r="B28" i="4"/>
  <c r="B32" i="4"/>
  <c r="B36" i="4"/>
  <c r="B40" i="4"/>
  <c r="B44" i="4"/>
  <c r="B48" i="4"/>
  <c r="G23" i="1" l="1"/>
  <c r="Q14" i="13" s="1"/>
  <c r="R14" i="13" s="1"/>
  <c r="Y14" i="13" s="1"/>
  <c r="F2" i="2"/>
  <c r="G24" i="1"/>
  <c r="Q15" i="13" s="1"/>
  <c r="R15" i="13" s="1"/>
  <c r="Y15" i="13" s="1"/>
  <c r="P10" i="1"/>
  <c r="Q9" i="1"/>
  <c r="R9" i="1"/>
  <c r="G31" i="1" l="1"/>
  <c r="G25" i="1"/>
  <c r="J25" i="1" s="1"/>
  <c r="G28" i="1"/>
  <c r="J28" i="1" s="1"/>
  <c r="G29" i="1"/>
  <c r="G30" i="1"/>
  <c r="G22" i="1"/>
  <c r="J22" i="1" s="1"/>
  <c r="G16" i="1"/>
  <c r="J16" i="1" s="1"/>
  <c r="J24" i="1"/>
  <c r="G17" i="1"/>
  <c r="J17" i="1" s="1"/>
  <c r="G27" i="1"/>
  <c r="Q18" i="13" s="1"/>
  <c r="R18" i="13" s="1"/>
  <c r="Y18" i="13" s="1"/>
  <c r="G26" i="1"/>
  <c r="Q17" i="13" s="1"/>
  <c r="R17" i="13" s="1"/>
  <c r="Y17" i="13" s="1"/>
  <c r="G18" i="1"/>
  <c r="Q9" i="13" s="1"/>
  <c r="R9" i="13" s="1"/>
  <c r="Y9" i="13" s="1"/>
  <c r="P11" i="1"/>
  <c r="R10" i="1"/>
  <c r="Q10" i="1"/>
  <c r="G20" i="1"/>
  <c r="Q11" i="13" s="1"/>
  <c r="R11" i="13" s="1"/>
  <c r="Y11" i="13" s="1"/>
  <c r="G15" i="1"/>
  <c r="G21" i="1"/>
  <c r="J21" i="1" s="1"/>
  <c r="G19" i="1"/>
  <c r="J19" i="1" s="1"/>
  <c r="J23" i="1"/>
  <c r="Q22" i="13" l="1"/>
  <c r="R22" i="13" s="1"/>
  <c r="Y22" i="13" s="1"/>
  <c r="J31" i="1"/>
  <c r="Q16" i="13"/>
  <c r="R16" i="13" s="1"/>
  <c r="Y16" i="13" s="1"/>
  <c r="Q19" i="13"/>
  <c r="R19" i="13" s="1"/>
  <c r="Y19" i="13" s="1"/>
  <c r="G32" i="1"/>
  <c r="Q21" i="13"/>
  <c r="R21" i="13" s="1"/>
  <c r="Y21" i="13" s="1"/>
  <c r="J30" i="1"/>
  <c r="Q20" i="13"/>
  <c r="R20" i="13" s="1"/>
  <c r="Y20" i="13" s="1"/>
  <c r="J29" i="1"/>
  <c r="Q6" i="13"/>
  <c r="R6" i="13" s="1"/>
  <c r="Y6" i="13" s="1"/>
  <c r="Q13" i="13"/>
  <c r="R13" i="13" s="1"/>
  <c r="Y13" i="13" s="1"/>
  <c r="Q7" i="13"/>
  <c r="R7" i="13" s="1"/>
  <c r="Y7" i="13" s="1"/>
  <c r="J27" i="1"/>
  <c r="Q8" i="13"/>
  <c r="R8" i="13" s="1"/>
  <c r="Y8" i="13" s="1"/>
  <c r="Q12" i="13"/>
  <c r="R12" i="13" s="1"/>
  <c r="Y12" i="13" s="1"/>
  <c r="J26" i="1"/>
  <c r="J15" i="1"/>
  <c r="J18" i="1"/>
  <c r="Q10" i="13"/>
  <c r="R10" i="13" s="1"/>
  <c r="Y10" i="13" s="1"/>
  <c r="J20" i="1"/>
  <c r="P12" i="1"/>
  <c r="Q11" i="1"/>
  <c r="R11" i="1"/>
  <c r="Q31" i="13" l="1"/>
  <c r="J32" i="1"/>
  <c r="Y23" i="13"/>
  <c r="Q23" i="13"/>
  <c r="P13" i="1"/>
  <c r="Q12" i="1"/>
  <c r="R12" i="1"/>
  <c r="P14" i="1" l="1"/>
  <c r="Q13" i="1"/>
  <c r="R13" i="1"/>
  <c r="F33" i="1" l="1"/>
  <c r="G33" i="1" s="1"/>
  <c r="P15" i="1"/>
  <c r="R14" i="1"/>
  <c r="Q14" i="1"/>
  <c r="P24" i="13" l="1"/>
  <c r="I24" i="13" s="1"/>
  <c r="Q24" i="13"/>
  <c r="G36" i="1"/>
  <c r="Q26" i="13" s="1"/>
  <c r="P16" i="1"/>
  <c r="Q15" i="1"/>
  <c r="R15" i="1"/>
  <c r="X24" i="13" l="1"/>
  <c r="Y24" i="13" s="1"/>
  <c r="Y26" i="13" s="1"/>
  <c r="Q30" i="13" s="1"/>
  <c r="Q16" i="1"/>
  <c r="R16" i="1"/>
  <c r="P17" i="1"/>
  <c r="Q33" i="13" l="1"/>
  <c r="P18" i="1"/>
  <c r="R17" i="1"/>
  <c r="Q17" i="1"/>
  <c r="P19" i="1" l="1"/>
  <c r="R18" i="1"/>
  <c r="Q18" i="1"/>
  <c r="Q19" i="1" l="1"/>
  <c r="R19" i="1"/>
</calcChain>
</file>

<file path=xl/sharedStrings.xml><?xml version="1.0" encoding="utf-8"?>
<sst xmlns="http://schemas.openxmlformats.org/spreadsheetml/2006/main" count="1843" uniqueCount="103">
  <si>
    <t>Member_Number</t>
  </si>
  <si>
    <t>Member_Name</t>
  </si>
  <si>
    <t xml:space="preserve">నాసిన. అంకయ్య </t>
  </si>
  <si>
    <t>నాసిన. వాసు</t>
  </si>
  <si>
    <t xml:space="preserve">నాసిన. సంపూర్ణమ్మ </t>
  </si>
  <si>
    <t xml:space="preserve">గెద్దే. కొండయ్య </t>
  </si>
  <si>
    <t>కుట్టుబోయిన. వరలక్ష్మమ్మ</t>
  </si>
  <si>
    <t xml:space="preserve">వెలినేని. సుగుణమ్మ </t>
  </si>
  <si>
    <t xml:space="preserve">వడ్లమాని. రాఘవులు నాయుడు </t>
  </si>
  <si>
    <t xml:space="preserve">వెలినేని. రవణమ్మ </t>
  </si>
  <si>
    <t xml:space="preserve">వడ్లమాని. అనిల్ </t>
  </si>
  <si>
    <t>కాకుటూరి. నాగేశ్వరరావు</t>
  </si>
  <si>
    <t xml:space="preserve">చిట్టిబోయిన. వేంకటేశ్వర్లు </t>
  </si>
  <si>
    <t xml:space="preserve">చిట్టిబోయిన. మమత </t>
  </si>
  <si>
    <t>వడ్లమాని. దొరసానమ్మ</t>
  </si>
  <si>
    <t>N/A</t>
  </si>
  <si>
    <t>Fat</t>
  </si>
  <si>
    <t>Rate</t>
  </si>
  <si>
    <t xml:space="preserve">శ్రీ మల్లి మిల్క్ లైన్ &amp; మిల్క్ ప్రొడక్ట్స్ </t>
  </si>
  <si>
    <t xml:space="preserve">శాంతినగర్, బుచ్చిరెడ్డిపాళెం గ్రామము </t>
  </si>
  <si>
    <t>DATE:</t>
  </si>
  <si>
    <t>FAT PRICE:</t>
  </si>
  <si>
    <t>(Revised on 16/11/2024)</t>
  </si>
  <si>
    <t>Date</t>
  </si>
  <si>
    <t>Qty</t>
  </si>
  <si>
    <t>Amount</t>
  </si>
  <si>
    <t>AM / PM</t>
  </si>
  <si>
    <t>PM</t>
  </si>
  <si>
    <t>తేదీ</t>
  </si>
  <si>
    <t xml:space="preserve">ఉదయం </t>
  </si>
  <si>
    <t>సాయంత్రం</t>
  </si>
  <si>
    <t>కిమ్మత్తు
రూ.    పై.</t>
  </si>
  <si>
    <t>వెన్న
శాతం</t>
  </si>
  <si>
    <t>పాలు
లీటర్లు</t>
  </si>
  <si>
    <t>నెం:</t>
  </si>
  <si>
    <t>పేరు:</t>
  </si>
  <si>
    <t>నెల:</t>
  </si>
  <si>
    <t>AM</t>
  </si>
  <si>
    <t>ID</t>
  </si>
  <si>
    <t>మొత్తం పాలు (లీటర్లు):</t>
  </si>
  <si>
    <t>మొత్తం రూపాయిలు:</t>
  </si>
  <si>
    <t>చివరి మొత్తం:</t>
  </si>
  <si>
    <t>Remarks</t>
  </si>
  <si>
    <t>Advance</t>
  </si>
  <si>
    <t>Name</t>
  </si>
  <si>
    <r>
      <t xml:space="preserve">అడ్వాన్సు </t>
    </r>
    <r>
      <rPr>
        <b/>
        <sz val="10"/>
        <color theme="1"/>
        <rFont val="Calibri"/>
        <family val="2"/>
        <scheme val="minor"/>
      </rPr>
      <t>లేదా</t>
    </r>
    <r>
      <rPr>
        <sz val="10"/>
        <color theme="1"/>
        <rFont val="Calibri"/>
        <family val="2"/>
        <scheme val="minor"/>
      </rPr>
      <t xml:space="preserve"> లోన్ తిరిగి చెల్లింపు:</t>
    </r>
  </si>
  <si>
    <t>అడ్వాన్సు లేదా లోన్ తిరిగి చెల్లింపు:</t>
  </si>
  <si>
    <t>Report Cycle From:</t>
  </si>
  <si>
    <t>S No</t>
  </si>
  <si>
    <t>Liters</t>
  </si>
  <si>
    <t>TOTAL</t>
  </si>
  <si>
    <t>FINAL AMOUNT</t>
  </si>
  <si>
    <t xml:space="preserve">RECOVERY: </t>
  </si>
  <si>
    <t xml:space="preserve">LOCAL SALE: </t>
  </si>
  <si>
    <t>Final Amount</t>
  </si>
  <si>
    <t>Per Liter</t>
  </si>
  <si>
    <t>Salary</t>
  </si>
  <si>
    <t>Room Rent</t>
  </si>
  <si>
    <t>Current Bill</t>
  </si>
  <si>
    <t>Miscellaneous</t>
  </si>
  <si>
    <t>MAINTENANCE</t>
  </si>
  <si>
    <t>(A)</t>
  </si>
  <si>
    <t>(B)</t>
  </si>
  <si>
    <t>(C)</t>
  </si>
  <si>
    <t>రూ. పై.</t>
  </si>
  <si>
    <t>ORIGINAL</t>
  </si>
  <si>
    <t>వడ్లమాని. అల్లిబాబు</t>
  </si>
  <si>
    <t>గిద్దలూరి. ప్రకాష్</t>
  </si>
  <si>
    <t>Previous Bill Balance</t>
  </si>
  <si>
    <t xml:space="preserve">From Date: </t>
  </si>
  <si>
    <t xml:space="preserve">To Date: </t>
  </si>
  <si>
    <t>No Formula</t>
  </si>
  <si>
    <t>With Formula</t>
  </si>
  <si>
    <t>Timestamp</t>
  </si>
  <si>
    <t>Session</t>
  </si>
  <si>
    <t>ఉత్పత్తిదారుని
నెం:</t>
  </si>
  <si>
    <t>తేదీ
నుండి:</t>
  </si>
  <si>
    <t>తేదీ
వరకు:</t>
  </si>
  <si>
    <t>ఉత్పత్తిదారుని
పేరు:</t>
  </si>
  <si>
    <t xml:space="preserve">Advance: </t>
  </si>
  <si>
    <t xml:space="preserve">Dorasanamma: </t>
  </si>
  <si>
    <t xml:space="preserve">Withdrawl Ammount: </t>
  </si>
  <si>
    <t>కూనిశెట్టి. కళాధరరావు</t>
  </si>
  <si>
    <t xml:space="preserve">Difference: </t>
  </si>
  <si>
    <t xml:space="preserve">FINAL AMOUNT: A-(B+C) </t>
  </si>
  <si>
    <r>
      <t xml:space="preserve">అడ్వాన్సు </t>
    </r>
    <r>
      <rPr>
        <b/>
        <sz val="10"/>
        <color theme="1"/>
        <rFont val="Nirmala UI"/>
        <family val="2"/>
      </rPr>
      <t>లేదా</t>
    </r>
    <r>
      <rPr>
        <sz val="10"/>
        <color theme="1"/>
        <rFont val="Nirmala UI"/>
        <family val="2"/>
      </rPr>
      <t xml:space="preserve"> లోన్ తిరిగి చెల్లింపు:</t>
    </r>
  </si>
  <si>
    <t>వడ్లమాని. బుజ్జయ్య</t>
  </si>
  <si>
    <t>Balance from last bill</t>
  </si>
  <si>
    <t>నాసిన. అంకయ్య</t>
  </si>
  <si>
    <t>Loan Amount</t>
  </si>
  <si>
    <t>Remaining Loan Amount:</t>
  </si>
  <si>
    <t>Mobile Recharge</t>
  </si>
  <si>
    <t>Advance - Malli</t>
  </si>
  <si>
    <t xml:space="preserve">LS Amount: </t>
  </si>
  <si>
    <t>Advance 500 of 1500</t>
  </si>
  <si>
    <t>Advance 500 of 1000</t>
  </si>
  <si>
    <t>Advance 500 of 500</t>
  </si>
  <si>
    <t>Penchalaiah Liquor</t>
  </si>
  <si>
    <t>Electrician</t>
  </si>
  <si>
    <t>From Date</t>
  </si>
  <si>
    <t>To Date</t>
  </si>
  <si>
    <t>Chicken</t>
  </si>
  <si>
    <t>Medicine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</si>
</sst>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
    <numFmt numFmtId="165" formatCode="0.0;[Red]0.0"/>
    <numFmt numFmtId="166" formatCode="&quot;$&quot;#,##0.00"/>
    <numFmt numFmtId="167" formatCode="d"/>
    <numFmt numFmtId="168" formatCode="mmmm\ \-\ yyyy"/>
    <numFmt numFmtId="169" formatCode="_ [$₹-4009]\ * #,##0.00_ ;_ [$₹-4009]\ * \-#,##0.00_ ;_ [$₹-4009]\ * &quot;-&quot;??_ ;_ @_ "/>
    <numFmt numFmtId="170" formatCode="0.00;[Red]0.00"/>
    <numFmt numFmtId="171" formatCode="[$-409]d\-mmm\-yyyy;@"/>
    <numFmt numFmtId="172" formatCode="d\-m\-yyyy"/>
    <numFmt numFmtId="173" formatCode="m/d/yyyy"/>
    <numFmt numFmtId="174" formatCode="m/d/yyyy\ h:mm"/>
    <numFmt numFmtId="175" formatCode="[$₹-4009]\ #,##0.00"/>
  </numFmts>
  <fonts count="54" x14ac:knownFonts="1">
    <font>
      <sz val="11"/>
      <color theme="1"/>
      <name val="Calibri"/>
      <family val="2"/>
      <scheme val="minor"/>
    </font>
    <font>
      <b/>
      <sz val="11"/>
      <color theme="1"/>
      <name val="Calibri"/>
      <family val="2"/>
      <scheme val="minor"/>
    </font>
    <font>
      <b/>
      <sz val="14"/>
      <color theme="0"/>
      <name val="Calibri"/>
      <family val="2"/>
      <scheme val="minor"/>
    </font>
    <font>
      <b/>
      <sz val="12"/>
      <color theme="1"/>
      <name val="Calibri"/>
      <family val="2"/>
      <scheme val="minor"/>
    </font>
    <font>
      <b/>
      <sz val="16"/>
      <color theme="1"/>
      <name val="Calibri"/>
      <family val="2"/>
      <scheme val="minor"/>
    </font>
    <font>
      <b/>
      <sz val="14"/>
      <color theme="1"/>
      <name val="Calibri"/>
      <family val="2"/>
      <scheme val="minor"/>
    </font>
    <font>
      <sz val="12"/>
      <color theme="1"/>
      <name val="Calibri"/>
      <family val="2"/>
      <scheme val="minor"/>
    </font>
    <font>
      <sz val="12"/>
      <color rgb="FF000000"/>
      <name val="Calibri"/>
      <family val="2"/>
      <scheme val="minor"/>
    </font>
    <font>
      <b/>
      <sz val="26"/>
      <color theme="1"/>
      <name val="Calibri"/>
      <family val="2"/>
      <scheme val="minor"/>
    </font>
    <font>
      <sz val="10"/>
      <color theme="1"/>
      <name val="Calibri"/>
      <family val="2"/>
      <scheme val="minor"/>
    </font>
    <font>
      <b/>
      <sz val="11"/>
      <color theme="0"/>
      <name val="Arial"/>
      <family val="2"/>
    </font>
    <font>
      <sz val="11"/>
      <color rgb="FF000000"/>
      <name val="Arial"/>
      <family val="2"/>
    </font>
    <font>
      <sz val="11"/>
      <color theme="1"/>
      <name val="Arial"/>
      <family val="2"/>
    </font>
    <font>
      <b/>
      <sz val="11"/>
      <color theme="1"/>
      <name val="Arial"/>
      <family val="2"/>
    </font>
    <font>
      <sz val="8"/>
      <name val="Calibri"/>
      <family val="2"/>
      <scheme val="minor"/>
    </font>
    <font>
      <b/>
      <sz val="10"/>
      <color theme="1"/>
      <name val="Arial"/>
      <family val="2"/>
    </font>
    <font>
      <b/>
      <sz val="10"/>
      <color theme="1"/>
      <name val="Calibri"/>
      <family val="2"/>
      <scheme val="minor"/>
    </font>
    <font>
      <sz val="10"/>
      <color theme="1"/>
      <name val="Arial"/>
      <family val="2"/>
    </font>
    <font>
      <sz val="10"/>
      <color rgb="FF000000"/>
      <name val="Arial"/>
      <family val="2"/>
    </font>
    <font>
      <b/>
      <sz val="10"/>
      <color rgb="FFFF0000"/>
      <name val="Arial"/>
      <family val="2"/>
    </font>
    <font>
      <b/>
      <u/>
      <sz val="11"/>
      <color theme="1"/>
      <name val="Calibri"/>
      <family val="2"/>
      <scheme val="minor"/>
    </font>
    <font>
      <b/>
      <sz val="12"/>
      <color rgb="FF7030A0"/>
      <name val="Calibri"/>
      <family val="2"/>
      <scheme val="minor"/>
    </font>
    <font>
      <b/>
      <sz val="12"/>
      <color rgb="FFFF0000"/>
      <name val="Calibri"/>
      <family val="2"/>
      <scheme val="minor"/>
    </font>
    <font>
      <sz val="11"/>
      <color rgb="FF002060"/>
      <name val="Calibri"/>
      <family val="2"/>
      <scheme val="minor"/>
    </font>
    <font>
      <b/>
      <sz val="11"/>
      <color rgb="FF002060"/>
      <name val="Calibri"/>
      <family val="2"/>
      <scheme val="minor"/>
    </font>
    <font>
      <sz val="9"/>
      <color theme="1"/>
      <name val="Calibri"/>
      <family val="2"/>
      <scheme val="minor"/>
    </font>
    <font>
      <b/>
      <sz val="11"/>
      <color rgb="FFFF0000"/>
      <name val="Calibri"/>
      <family val="2"/>
      <scheme val="minor"/>
    </font>
    <font>
      <b/>
      <sz val="11"/>
      <color rgb="FF7030A0"/>
      <name val="Calibri"/>
      <family val="2"/>
      <scheme val="minor"/>
    </font>
    <font>
      <sz val="18"/>
      <color theme="1"/>
      <name val="Calibri"/>
      <family val="2"/>
      <scheme val="minor"/>
    </font>
    <font>
      <sz val="20"/>
      <color theme="1"/>
      <name val="Calibri"/>
      <family val="2"/>
      <scheme val="minor"/>
    </font>
    <font>
      <b/>
      <sz val="20"/>
      <color theme="1"/>
      <name val="Calibri"/>
      <family val="2"/>
      <scheme val="minor"/>
    </font>
    <font>
      <b/>
      <sz val="11"/>
      <color theme="8" tint="-0.499984740745262"/>
      <name val="Calibri"/>
      <family val="2"/>
      <scheme val="minor"/>
    </font>
    <font>
      <b/>
      <sz val="14"/>
      <color theme="8" tint="-0.499984740745262"/>
      <name val="Calibri"/>
      <family val="2"/>
      <scheme val="minor"/>
    </font>
    <font>
      <b/>
      <sz val="14"/>
      <color rgb="FF3366FF"/>
      <name val="Calibri"/>
      <family val="2"/>
    </font>
    <font>
      <b/>
      <sz val="14"/>
      <color rgb="FF339966"/>
      <name val="Calibri"/>
      <family val="2"/>
    </font>
    <font>
      <b/>
      <sz val="14"/>
      <color rgb="FF800080"/>
      <name val="Calibri"/>
      <family val="2"/>
    </font>
    <font>
      <b/>
      <sz val="14"/>
      <color rgb="FFFF6600"/>
      <name val="Calibri"/>
      <family val="2"/>
    </font>
    <font>
      <b/>
      <sz val="12"/>
      <color theme="1"/>
      <name val="Arial"/>
      <family val="2"/>
    </font>
    <font>
      <b/>
      <u val="double"/>
      <sz val="11"/>
      <color rgb="FFFF0000"/>
      <name val="Calibri"/>
      <family val="2"/>
    </font>
    <font>
      <b/>
      <sz val="16"/>
      <color rgb="FF000000"/>
      <name val="Calibri"/>
      <family val="2"/>
    </font>
    <font>
      <b/>
      <sz val="26"/>
      <color theme="1"/>
      <name val="Suranna"/>
    </font>
    <font>
      <sz val="12"/>
      <color theme="1"/>
      <name val="Suranna"/>
    </font>
    <font>
      <sz val="10"/>
      <color theme="1"/>
      <name val="Nirmala UI"/>
      <family val="2"/>
    </font>
    <font>
      <b/>
      <sz val="14"/>
      <color theme="1"/>
      <name val="Nirmala UI"/>
      <family val="2"/>
    </font>
    <font>
      <b/>
      <sz val="10"/>
      <color theme="1"/>
      <name val="Nirmala UI"/>
      <family val="2"/>
    </font>
    <font>
      <sz val="11"/>
      <color theme="1"/>
      <name val="Nirmala UI"/>
      <family val="2"/>
    </font>
    <font>
      <b/>
      <sz val="11"/>
      <color theme="1"/>
      <name val="Nirmala UI"/>
      <family val="2"/>
    </font>
    <font>
      <sz val="10"/>
      <color rgb="FF000000"/>
      <name val="Nirmala UI"/>
      <family val="2"/>
    </font>
    <font>
      <b/>
      <sz val="10"/>
      <color rgb="FFFF0000"/>
      <name val="Nirmala UI"/>
      <family val="2"/>
    </font>
    <font>
      <b/>
      <sz val="13"/>
      <color theme="1"/>
      <name val="Nirmala UI"/>
      <family val="2"/>
    </font>
    <font>
      <sz val="11"/>
      <color rgb="FF002060"/>
      <name val="Nirmala UI"/>
      <family val="2"/>
    </font>
    <font>
      <b/>
      <sz val="12"/>
      <color theme="0"/>
      <name val="Arial"/>
      <family val="2"/>
    </font>
    <font>
      <b/>
      <sz val="11"/>
      <color theme="0"/>
      <name val="Nirmala UI"/>
      <family val="2"/>
    </font>
    <font>
      <b/>
      <sz val="11"/>
      <color rgb="FFFF0000"/>
      <name val="Arial"/>
      <family val="2"/>
    </font>
  </fonts>
  <fills count="14">
    <fill>
      <patternFill patternType="none"/>
    </fill>
    <fill>
      <patternFill patternType="gray125"/>
    </fill>
    <fill>
      <patternFill patternType="solid">
        <fgColor theme="0" tint="-0.499984740745262"/>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rgb="FFF2F2F2"/>
        <bgColor indexed="64"/>
      </patternFill>
    </fill>
    <fill>
      <patternFill patternType="solid">
        <fgColor rgb="FFDCE6F1"/>
        <bgColor indexed="64"/>
      </patternFill>
    </fill>
    <fill>
      <patternFill patternType="solid">
        <fgColor rgb="FFBFBFBF"/>
        <bgColor indexed="64"/>
      </patternFill>
    </fill>
    <fill>
      <patternFill patternType="solid">
        <fgColor theme="4" tint="-0.49998474074526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indexed="64"/>
      </right>
      <top style="thin">
        <color auto="1"/>
      </top>
      <bottom style="thin">
        <color indexed="64"/>
      </bottom>
      <diagonal/>
    </border>
  </borders>
  <cellStyleXfs count="1">
    <xf numFmtId="0" fontId="0" fillId="0" borderId="0"/>
  </cellStyleXfs>
  <cellXfs count="237">
    <xf numFmtId="0" fontId="0" fillId="0" borderId="0" xfId="0"/>
    <xf numFmtId="0" fontId="2" fillId="2" borderId="1" xfId="0" applyFont="1" applyFill="1" applyBorder="1" applyAlignment="1">
      <alignment horizontal="center" vertical="center"/>
    </xf>
    <xf numFmtId="0" fontId="3" fillId="0" borderId="1" xfId="0" applyFont="1" applyBorder="1" applyAlignment="1">
      <alignment horizontal="center" vertical="center"/>
    </xf>
    <xf numFmtId="0" fontId="1" fillId="0" borderId="1" xfId="0" applyFont="1" applyBorder="1" applyAlignment="1">
      <alignment horizontal="left" vertical="center"/>
    </xf>
    <xf numFmtId="0" fontId="4" fillId="0" borderId="0" xfId="0" applyFont="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164" fontId="6" fillId="0" borderId="1" xfId="0" applyNumberFormat="1" applyFont="1" applyBorder="1" applyAlignment="1">
      <alignment horizontal="center" vertical="center" wrapText="1"/>
    </xf>
    <xf numFmtId="164" fontId="6" fillId="0" borderId="4" xfId="0" applyNumberFormat="1" applyFont="1" applyBorder="1" applyAlignment="1">
      <alignment horizontal="center" vertical="center" wrapText="1"/>
    </xf>
    <xf numFmtId="164" fontId="7" fillId="0" borderId="4" xfId="0" applyNumberFormat="1" applyFont="1" applyBorder="1" applyAlignment="1">
      <alignment horizontal="center" vertical="center" wrapText="1"/>
    </xf>
    <xf numFmtId="164" fontId="6" fillId="0" borderId="6" xfId="0" applyNumberFormat="1" applyFont="1" applyBorder="1" applyAlignment="1">
      <alignment horizontal="center" vertical="center" wrapText="1"/>
    </xf>
    <xf numFmtId="2" fontId="6" fillId="0" borderId="0" xfId="0" applyNumberFormat="1" applyFont="1"/>
    <xf numFmtId="0" fontId="0" fillId="0" borderId="7" xfId="0" applyBorder="1"/>
    <xf numFmtId="0" fontId="0" fillId="0" borderId="11" xfId="0" applyBorder="1"/>
    <xf numFmtId="0" fontId="0" fillId="0" borderId="12" xfId="0" applyBorder="1"/>
    <xf numFmtId="0" fontId="0" fillId="0" borderId="8" xfId="0" applyBorder="1"/>
    <xf numFmtId="0" fontId="0" fillId="0" borderId="3" xfId="0" applyBorder="1"/>
    <xf numFmtId="0" fontId="0" fillId="0" borderId="9" xfId="0" applyBorder="1"/>
    <xf numFmtId="0" fontId="0" fillId="0" borderId="2" xfId="0" applyBorder="1"/>
    <xf numFmtId="0" fontId="5" fillId="0" borderId="1" xfId="0" applyFont="1" applyBorder="1" applyAlignment="1">
      <alignment horizontal="center" vertical="center"/>
    </xf>
    <xf numFmtId="0" fontId="1" fillId="0" borderId="0" xfId="0" applyFont="1" applyAlignment="1">
      <alignment horizontal="right"/>
    </xf>
    <xf numFmtId="0" fontId="9" fillId="0" borderId="0" xfId="0" applyFont="1"/>
    <xf numFmtId="0" fontId="10" fillId="3" borderId="10" xfId="0" applyFont="1" applyFill="1" applyBorder="1" applyAlignment="1">
      <alignment horizontal="center" vertical="center" wrapText="1"/>
    </xf>
    <xf numFmtId="0" fontId="11" fillId="0" borderId="1" xfId="0" applyFont="1" applyBorder="1" applyAlignment="1">
      <alignment horizontal="center" vertical="center" wrapText="1"/>
    </xf>
    <xf numFmtId="165" fontId="11" fillId="0" borderId="1" xfId="0" applyNumberFormat="1" applyFont="1" applyBorder="1" applyAlignment="1">
      <alignment horizontal="center" vertical="center" wrapText="1"/>
    </xf>
    <xf numFmtId="0" fontId="12" fillId="0" borderId="0" xfId="0" applyFont="1"/>
    <xf numFmtId="1" fontId="0" fillId="0" borderId="0" xfId="0" applyNumberFormat="1"/>
    <xf numFmtId="0" fontId="0" fillId="0" borderId="0" xfId="0" applyAlignment="1">
      <alignment horizontal="center" vertical="center" wrapText="1"/>
    </xf>
    <xf numFmtId="0" fontId="13" fillId="4" borderId="1" xfId="0" applyFont="1" applyFill="1" applyBorder="1" applyAlignment="1">
      <alignment horizontal="center" vertical="center"/>
    </xf>
    <xf numFmtId="14" fontId="11" fillId="0" borderId="1" xfId="0" applyNumberFormat="1" applyFont="1" applyBorder="1" applyAlignment="1">
      <alignment horizontal="center" vertical="center" wrapText="1"/>
    </xf>
    <xf numFmtId="14" fontId="0" fillId="0" borderId="0" xfId="0" applyNumberFormat="1"/>
    <xf numFmtId="0" fontId="0" fillId="0" borderId="0" xfId="0" applyAlignment="1">
      <alignment wrapText="1"/>
    </xf>
    <xf numFmtId="2" fontId="12" fillId="0" borderId="0" xfId="0" applyNumberFormat="1" applyFont="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0" fontId="12" fillId="0" borderId="1" xfId="0" applyFont="1" applyBorder="1" applyAlignment="1">
      <alignment horizontal="center" vertical="center"/>
    </xf>
    <xf numFmtId="0" fontId="10" fillId="3" borderId="1" xfId="0" applyFont="1" applyFill="1" applyBorder="1" applyAlignment="1">
      <alignment horizontal="center" vertical="center"/>
    </xf>
    <xf numFmtId="14" fontId="12" fillId="0" borderId="1" xfId="0" applyNumberFormat="1" applyFont="1" applyBorder="1" applyAlignment="1">
      <alignment horizontal="center" vertical="center"/>
    </xf>
    <xf numFmtId="14" fontId="12" fillId="0" borderId="0" xfId="0" applyNumberFormat="1" applyFont="1" applyAlignment="1">
      <alignment horizontal="center" vertical="center"/>
    </xf>
    <xf numFmtId="2" fontId="12" fillId="5" borderId="1" xfId="0" applyNumberFormat="1" applyFont="1" applyFill="1" applyBorder="1" applyAlignment="1">
      <alignment horizontal="center" vertical="center"/>
    </xf>
    <xf numFmtId="2" fontId="6" fillId="5" borderId="5" xfId="0" applyNumberFormat="1" applyFont="1" applyFill="1" applyBorder="1" applyAlignment="1">
      <alignment horizontal="center" vertical="center" wrapText="1"/>
    </xf>
    <xf numFmtId="2" fontId="6" fillId="5" borderId="1" xfId="0" applyNumberFormat="1" applyFont="1" applyFill="1" applyBorder="1" applyAlignment="1">
      <alignment horizontal="center" vertical="center" wrapText="1"/>
    </xf>
    <xf numFmtId="2" fontId="12" fillId="5" borderId="5" xfId="0" applyNumberFormat="1" applyFont="1" applyFill="1" applyBorder="1" applyAlignment="1">
      <alignment horizontal="center" wrapText="1"/>
    </xf>
    <xf numFmtId="2" fontId="12" fillId="5" borderId="1" xfId="0" applyNumberFormat="1" applyFont="1" applyFill="1" applyBorder="1" applyAlignment="1">
      <alignment horizontal="center" wrapText="1"/>
    </xf>
    <xf numFmtId="14" fontId="9" fillId="0" borderId="0" xfId="0" applyNumberFormat="1" applyFont="1"/>
    <xf numFmtId="0" fontId="0" fillId="6" borderId="0" xfId="0" applyFill="1"/>
    <xf numFmtId="0" fontId="9" fillId="0" borderId="14" xfId="0" applyFont="1" applyBorder="1" applyAlignment="1">
      <alignment horizontal="center" vertical="center"/>
    </xf>
    <xf numFmtId="0" fontId="9" fillId="0" borderId="14" xfId="0" applyFont="1" applyBorder="1" applyAlignment="1">
      <alignment horizontal="center" vertical="center" wrapText="1"/>
    </xf>
    <xf numFmtId="167" fontId="17" fillId="0" borderId="14" xfId="0" applyNumberFormat="1" applyFont="1" applyBorder="1" applyAlignment="1">
      <alignment horizontal="center" vertical="center"/>
    </xf>
    <xf numFmtId="165" fontId="18" fillId="0" borderId="14" xfId="0" applyNumberFormat="1" applyFont="1" applyBorder="1" applyAlignment="1">
      <alignment horizontal="center" vertical="center" wrapText="1"/>
    </xf>
    <xf numFmtId="2" fontId="17" fillId="0" borderId="14" xfId="0" applyNumberFormat="1" applyFont="1" applyBorder="1" applyAlignment="1">
      <alignment horizontal="center" vertical="center" wrapText="1"/>
    </xf>
    <xf numFmtId="0" fontId="15" fillId="0" borderId="14" xfId="0" applyFont="1" applyBorder="1" applyAlignment="1">
      <alignment horizontal="center"/>
    </xf>
    <xf numFmtId="1" fontId="11" fillId="0" borderId="1" xfId="0" applyNumberFormat="1" applyFont="1" applyBorder="1" applyAlignment="1">
      <alignment horizontal="center" vertical="center" wrapText="1"/>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1" fillId="0" borderId="1" xfId="0" applyFont="1" applyBorder="1" applyAlignment="1">
      <alignment horizontal="center" vertical="center"/>
    </xf>
    <xf numFmtId="14" fontId="1" fillId="0" borderId="1" xfId="0" applyNumberFormat="1" applyFont="1" applyBorder="1" applyAlignment="1">
      <alignment horizontal="center" vertical="center"/>
    </xf>
    <xf numFmtId="0" fontId="20" fillId="0" borderId="0" xfId="0" applyFont="1" applyAlignment="1">
      <alignment horizontal="right"/>
    </xf>
    <xf numFmtId="166" fontId="22" fillId="0" borderId="1" xfId="0" applyNumberFormat="1" applyFont="1" applyBorder="1" applyAlignment="1">
      <alignment horizontal="center" vertical="center"/>
    </xf>
    <xf numFmtId="0" fontId="23" fillId="4" borderId="1" xfId="0" applyFont="1" applyFill="1" applyBorder="1" applyAlignment="1">
      <alignment horizontal="center" vertical="center"/>
    </xf>
    <xf numFmtId="2" fontId="23" fillId="4" borderId="1" xfId="0" applyNumberFormat="1" applyFont="1" applyFill="1" applyBorder="1" applyAlignment="1">
      <alignment horizontal="center" vertical="center"/>
    </xf>
    <xf numFmtId="0" fontId="0" fillId="0" borderId="1" xfId="0" applyBorder="1" applyAlignment="1">
      <alignment horizontal="right"/>
    </xf>
    <xf numFmtId="2" fontId="0" fillId="0" borderId="1" xfId="0" applyNumberFormat="1" applyBorder="1"/>
    <xf numFmtId="0" fontId="24" fillId="7" borderId="1" xfId="0" applyFont="1" applyFill="1" applyBorder="1" applyAlignment="1">
      <alignment horizontal="center" vertical="center"/>
    </xf>
    <xf numFmtId="0" fontId="25" fillId="0" borderId="0" xfId="0" applyFont="1"/>
    <xf numFmtId="0" fontId="24" fillId="7" borderId="1" xfId="0" applyFont="1" applyFill="1" applyBorder="1" applyAlignment="1">
      <alignment horizontal="left" vertical="center"/>
    </xf>
    <xf numFmtId="0" fontId="0" fillId="0" borderId="1" xfId="0" applyBorder="1" applyAlignment="1">
      <alignment horizontal="center"/>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2" fontId="0" fillId="0" borderId="1" xfId="0" applyNumberFormat="1" applyBorder="1" applyAlignment="1">
      <alignment horizontal="center"/>
    </xf>
    <xf numFmtId="0" fontId="0" fillId="6" borderId="1" xfId="0" applyFill="1" applyBorder="1" applyAlignment="1">
      <alignment horizontal="center" vertical="center"/>
    </xf>
    <xf numFmtId="169" fontId="0" fillId="0" borderId="0" xfId="0" applyNumberFormat="1" applyAlignment="1">
      <alignment horizontal="center"/>
    </xf>
    <xf numFmtId="169" fontId="0" fillId="0" borderId="1" xfId="0" applyNumberFormat="1" applyBorder="1"/>
    <xf numFmtId="169" fontId="3" fillId="0" borderId="1" xfId="0" applyNumberFormat="1" applyFont="1" applyBorder="1"/>
    <xf numFmtId="2" fontId="0" fillId="0" borderId="0" xfId="0" applyNumberFormat="1"/>
    <xf numFmtId="0" fontId="26" fillId="0" borderId="1" xfId="0" applyFont="1" applyBorder="1" applyAlignment="1">
      <alignment horizontal="right"/>
    </xf>
    <xf numFmtId="2" fontId="26" fillId="0" borderId="1" xfId="0" applyNumberFormat="1" applyFont="1" applyBorder="1"/>
    <xf numFmtId="0" fontId="1" fillId="0" borderId="1" xfId="0" applyFont="1" applyBorder="1" applyAlignment="1">
      <alignment horizontal="right"/>
    </xf>
    <xf numFmtId="2" fontId="1" fillId="0" borderId="1" xfId="0" applyNumberFormat="1" applyFont="1" applyBorder="1"/>
    <xf numFmtId="0" fontId="27" fillId="0" borderId="0" xfId="0" applyFont="1"/>
    <xf numFmtId="0" fontId="13" fillId="0" borderId="2"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3" xfId="0" applyFont="1" applyBorder="1" applyAlignment="1">
      <alignment horizontal="center" vertical="center" wrapText="1"/>
    </xf>
    <xf numFmtId="0" fontId="28" fillId="0" borderId="0" xfId="0" applyFont="1"/>
    <xf numFmtId="0" fontId="29" fillId="0" borderId="0" xfId="0" applyFont="1"/>
    <xf numFmtId="164" fontId="29" fillId="0" borderId="1" xfId="0" applyNumberFormat="1" applyFont="1" applyBorder="1" applyAlignment="1">
      <alignment horizontal="center" vertical="center"/>
    </xf>
    <xf numFmtId="2" fontId="29" fillId="0" borderId="1" xfId="0" applyNumberFormat="1" applyFont="1" applyBorder="1" applyAlignment="1">
      <alignment horizontal="center" vertical="center"/>
    </xf>
    <xf numFmtId="0" fontId="29" fillId="0" borderId="1" xfId="0" applyFont="1" applyBorder="1"/>
    <xf numFmtId="0" fontId="29" fillId="0" borderId="0" xfId="0" applyFont="1" applyAlignment="1">
      <alignment wrapText="1"/>
    </xf>
    <xf numFmtId="0" fontId="30" fillId="0" borderId="1" xfId="0" applyFont="1" applyBorder="1" applyAlignment="1">
      <alignment horizontal="center" vertical="center" wrapText="1"/>
    </xf>
    <xf numFmtId="0" fontId="30" fillId="0" borderId="0" xfId="0" applyFont="1" applyAlignment="1">
      <alignment wrapText="1"/>
    </xf>
    <xf numFmtId="2" fontId="23" fillId="6" borderId="1" xfId="0" applyNumberFormat="1" applyFont="1" applyFill="1" applyBorder="1" applyAlignment="1">
      <alignment horizontal="center" vertical="center"/>
    </xf>
    <xf numFmtId="170" fontId="17" fillId="4" borderId="14" xfId="0" applyNumberFormat="1" applyFont="1" applyFill="1" applyBorder="1" applyAlignment="1">
      <alignment horizontal="center" vertical="center"/>
    </xf>
    <xf numFmtId="2" fontId="32" fillId="0" borderId="1" xfId="0" applyNumberFormat="1" applyFont="1" applyBorder="1"/>
    <xf numFmtId="171" fontId="0" fillId="0" borderId="26" xfId="0" applyNumberFormat="1" applyBorder="1" applyAlignment="1">
      <alignment horizontal="center" vertical="center"/>
    </xf>
    <xf numFmtId="171" fontId="0" fillId="0" borderId="30" xfId="0" applyNumberFormat="1" applyBorder="1" applyAlignment="1">
      <alignment horizontal="center" vertical="center"/>
    </xf>
    <xf numFmtId="0" fontId="1" fillId="0" borderId="25" xfId="0" applyFont="1" applyBorder="1" applyAlignment="1">
      <alignment horizontal="right"/>
    </xf>
    <xf numFmtId="0" fontId="1" fillId="0" borderId="29" xfId="0" applyFont="1" applyBorder="1" applyAlignment="1">
      <alignment horizontal="right"/>
    </xf>
    <xf numFmtId="0" fontId="19" fillId="4" borderId="14" xfId="0" applyFont="1" applyFill="1" applyBorder="1" applyAlignment="1">
      <alignment horizontal="center" vertical="center"/>
    </xf>
    <xf numFmtId="164" fontId="12" fillId="0" borderId="1" xfId="0" applyNumberFormat="1" applyFont="1" applyBorder="1" applyAlignment="1">
      <alignment horizontal="center" vertical="center"/>
    </xf>
    <xf numFmtId="164" fontId="12" fillId="0" borderId="0" xfId="0" applyNumberFormat="1" applyFont="1" applyAlignment="1">
      <alignment horizontal="center" vertical="center"/>
    </xf>
    <xf numFmtId="0" fontId="0" fillId="8" borderId="1" xfId="0" applyFill="1" applyBorder="1" applyAlignment="1">
      <alignment horizontal="center" vertical="center"/>
    </xf>
    <xf numFmtId="3" fontId="37" fillId="0" borderId="14" xfId="0" applyNumberFormat="1" applyFont="1" applyBorder="1" applyAlignment="1">
      <alignment horizontal="center" vertical="center"/>
    </xf>
    <xf numFmtId="3" fontId="17" fillId="4" borderId="14" xfId="0" applyNumberFormat="1" applyFont="1" applyFill="1" applyBorder="1" applyAlignment="1">
      <alignment horizontal="center" vertical="center"/>
    </xf>
    <xf numFmtId="2" fontId="0" fillId="10" borderId="1" xfId="0" applyNumberFormat="1" applyFill="1" applyBorder="1"/>
    <xf numFmtId="0" fontId="0" fillId="0" borderId="1" xfId="0" applyBorder="1" applyAlignment="1">
      <alignment horizontal="center" vertical="center" textRotation="45"/>
    </xf>
    <xf numFmtId="169" fontId="0" fillId="0" borderId="0" xfId="0" applyNumberFormat="1"/>
    <xf numFmtId="0" fontId="0" fillId="0" borderId="0" xfId="0" applyAlignment="1">
      <alignment horizontal="right"/>
    </xf>
    <xf numFmtId="2" fontId="0" fillId="8" borderId="0" xfId="0" applyNumberFormat="1" applyFill="1"/>
    <xf numFmtId="2" fontId="3" fillId="8" borderId="1" xfId="0" applyNumberFormat="1" applyFont="1" applyFill="1" applyBorder="1" applyAlignment="1">
      <alignment horizontal="center"/>
    </xf>
    <xf numFmtId="2" fontId="3" fillId="8" borderId="1" xfId="0" applyNumberFormat="1" applyFont="1" applyFill="1" applyBorder="1"/>
    <xf numFmtId="14" fontId="21" fillId="0" borderId="1" xfId="0" applyNumberFormat="1" applyFont="1" applyBorder="1" applyAlignment="1">
      <alignment horizontal="center" vertical="center"/>
    </xf>
    <xf numFmtId="0" fontId="0" fillId="7" borderId="1" xfId="0" applyFill="1" applyBorder="1" applyAlignment="1">
      <alignment horizontal="right"/>
    </xf>
    <xf numFmtId="169" fontId="0" fillId="10" borderId="1" xfId="0" applyNumberFormat="1" applyFill="1" applyBorder="1"/>
    <xf numFmtId="2" fontId="23" fillId="10" borderId="1" xfId="0" applyNumberFormat="1" applyFont="1" applyFill="1" applyBorder="1" applyAlignment="1">
      <alignment horizontal="center" vertical="center"/>
    </xf>
    <xf numFmtId="2" fontId="3" fillId="8" borderId="37" xfId="0" applyNumberFormat="1" applyFont="1" applyFill="1" applyBorder="1"/>
    <xf numFmtId="0" fontId="1" fillId="11" borderId="38" xfId="0" applyFont="1" applyFill="1" applyBorder="1" applyAlignment="1">
      <alignment horizontal="center" vertical="center"/>
    </xf>
    <xf numFmtId="14" fontId="0" fillId="0" borderId="38" xfId="0" applyNumberFormat="1" applyBorder="1" applyAlignment="1">
      <alignment horizontal="center" vertical="center"/>
    </xf>
    <xf numFmtId="0" fontId="0" fillId="0" borderId="38" xfId="0" applyBorder="1" applyAlignment="1">
      <alignment horizontal="center" vertical="center"/>
    </xf>
    <xf numFmtId="22" fontId="0" fillId="0" borderId="38" xfId="0" applyNumberFormat="1" applyBorder="1" applyAlignment="1">
      <alignment horizontal="center" vertical="center"/>
    </xf>
    <xf numFmtId="173" fontId="0" fillId="0" borderId="38" xfId="0" applyNumberFormat="1" applyBorder="1" applyAlignment="1">
      <alignment horizontal="center" vertical="center"/>
    </xf>
    <xf numFmtId="174" fontId="0" fillId="0" borderId="38" xfId="0" applyNumberFormat="1" applyBorder="1" applyAlignment="1">
      <alignment horizontal="center" vertical="center"/>
    </xf>
    <xf numFmtId="2" fontId="3" fillId="0" borderId="0" xfId="0" applyNumberFormat="1" applyFont="1" applyAlignment="1">
      <alignment horizontal="center"/>
    </xf>
    <xf numFmtId="0" fontId="11" fillId="0" borderId="38" xfId="0" applyFont="1" applyBorder="1" applyAlignment="1">
      <alignment horizontal="center" vertical="center" wrapText="1"/>
    </xf>
    <xf numFmtId="165" fontId="11" fillId="0" borderId="38" xfId="0" applyNumberFormat="1" applyFont="1" applyBorder="1" applyAlignment="1">
      <alignment horizontal="center" vertical="center" wrapText="1"/>
    </xf>
    <xf numFmtId="2" fontId="12" fillId="5" borderId="38" xfId="0" applyNumberFormat="1" applyFont="1" applyFill="1" applyBorder="1" applyAlignment="1">
      <alignment horizontal="center" wrapText="1"/>
    </xf>
    <xf numFmtId="0" fontId="22" fillId="0" borderId="1" xfId="0" applyFont="1" applyBorder="1" applyAlignment="1">
      <alignment horizontal="right"/>
    </xf>
    <xf numFmtId="0" fontId="42" fillId="0" borderId="14" xfId="0" applyFont="1" applyBorder="1" applyAlignment="1">
      <alignment horizontal="center" wrapText="1"/>
    </xf>
    <xf numFmtId="0" fontId="45" fillId="0" borderId="0" xfId="0" applyFont="1"/>
    <xf numFmtId="0" fontId="45" fillId="0" borderId="0" xfId="0" applyFont="1" applyAlignment="1">
      <alignment wrapText="1"/>
    </xf>
    <xf numFmtId="0" fontId="42" fillId="0" borderId="14" xfId="0" applyFont="1" applyBorder="1" applyAlignment="1">
      <alignment horizontal="center" vertical="center" wrapText="1"/>
    </xf>
    <xf numFmtId="0" fontId="45" fillId="0" borderId="0" xfId="0" applyFont="1" applyAlignment="1">
      <alignment horizontal="center" vertical="center" wrapText="1"/>
    </xf>
    <xf numFmtId="167" fontId="42" fillId="0" borderId="14" xfId="0" applyNumberFormat="1" applyFont="1" applyBorder="1" applyAlignment="1">
      <alignment horizontal="center" vertical="center"/>
    </xf>
    <xf numFmtId="165" fontId="47" fillId="0" borderId="14" xfId="0" applyNumberFormat="1" applyFont="1" applyBorder="1" applyAlignment="1">
      <alignment horizontal="center" vertical="center" wrapText="1"/>
    </xf>
    <xf numFmtId="2" fontId="42" fillId="0" borderId="14" xfId="0" applyNumberFormat="1" applyFont="1" applyBorder="1" applyAlignment="1">
      <alignment horizontal="center" vertical="center" wrapText="1"/>
    </xf>
    <xf numFmtId="14" fontId="42" fillId="0" borderId="0" xfId="0" applyNumberFormat="1" applyFont="1"/>
    <xf numFmtId="0" fontId="42" fillId="0" borderId="0" xfId="0" applyFont="1"/>
    <xf numFmtId="0" fontId="46" fillId="0" borderId="1" xfId="0" applyFont="1" applyBorder="1" applyAlignment="1">
      <alignment horizontal="left" vertical="center"/>
    </xf>
    <xf numFmtId="14" fontId="11" fillId="0" borderId="38" xfId="0" applyNumberFormat="1" applyFont="1" applyBorder="1" applyAlignment="1">
      <alignment horizontal="center" vertical="center" wrapText="1"/>
    </xf>
    <xf numFmtId="170" fontId="42" fillId="0" borderId="14" xfId="0" applyNumberFormat="1" applyFont="1" applyBorder="1" applyAlignment="1">
      <alignment horizontal="center" vertical="center"/>
    </xf>
    <xf numFmtId="3" fontId="42" fillId="0" borderId="14" xfId="0" applyNumberFormat="1" applyFont="1" applyBorder="1" applyAlignment="1">
      <alignment horizontal="center" vertical="center"/>
    </xf>
    <xf numFmtId="0" fontId="48" fillId="0" borderId="14" xfId="0" applyFont="1" applyBorder="1" applyAlignment="1">
      <alignment horizontal="center" vertical="center"/>
    </xf>
    <xf numFmtId="0" fontId="43" fillId="5" borderId="14" xfId="0" applyFont="1" applyFill="1" applyBorder="1" applyAlignment="1">
      <alignment horizontal="center" vertical="center"/>
    </xf>
    <xf numFmtId="3" fontId="49" fillId="5" borderId="14" xfId="0" applyNumberFormat="1" applyFont="1" applyFill="1" applyBorder="1" applyAlignment="1">
      <alignment horizontal="center" vertical="center"/>
    </xf>
    <xf numFmtId="172" fontId="15" fillId="5" borderId="14" xfId="0" applyNumberFormat="1" applyFont="1" applyFill="1" applyBorder="1" applyAlignment="1">
      <alignment horizontal="center" vertical="center"/>
    </xf>
    <xf numFmtId="0" fontId="45" fillId="5" borderId="1" xfId="0" applyFont="1" applyFill="1" applyBorder="1" applyAlignment="1">
      <alignment horizontal="center" vertical="center"/>
    </xf>
    <xf numFmtId="0" fontId="51" fillId="3" borderId="1" xfId="0" applyFont="1" applyFill="1" applyBorder="1" applyAlignment="1">
      <alignment horizontal="center" vertical="center" wrapText="1"/>
    </xf>
    <xf numFmtId="0" fontId="0" fillId="12" borderId="1" xfId="0" applyFill="1" applyBorder="1" applyAlignment="1">
      <alignment horizontal="center" vertical="center"/>
    </xf>
    <xf numFmtId="2" fontId="0" fillId="0" borderId="0" xfId="0" applyNumberFormat="1" applyAlignment="1">
      <alignment horizontal="right"/>
    </xf>
    <xf numFmtId="173" fontId="11" fillId="0" borderId="38" xfId="0" applyNumberFormat="1" applyFont="1" applyBorder="1" applyAlignment="1">
      <alignment horizontal="center" vertical="center" wrapText="1"/>
    </xf>
    <xf numFmtId="1" fontId="11" fillId="0" borderId="38" xfId="0" applyNumberFormat="1" applyFont="1" applyBorder="1" applyAlignment="1">
      <alignment horizontal="center" vertical="center" wrapText="1"/>
    </xf>
    <xf numFmtId="0" fontId="45" fillId="5" borderId="38" xfId="0" applyFont="1" applyFill="1" applyBorder="1" applyAlignment="1">
      <alignment horizontal="center" vertical="center"/>
    </xf>
    <xf numFmtId="0" fontId="12" fillId="0" borderId="38" xfId="0" applyFont="1" applyBorder="1" applyAlignment="1">
      <alignment horizontal="center" vertical="center"/>
    </xf>
    <xf numFmtId="175" fontId="12" fillId="0" borderId="9" xfId="0" applyNumberFormat="1" applyFont="1" applyBorder="1" applyAlignment="1">
      <alignment horizontal="center" vertical="center"/>
    </xf>
    <xf numFmtId="175" fontId="10" fillId="3" borderId="9" xfId="0" applyNumberFormat="1" applyFont="1" applyFill="1" applyBorder="1" applyAlignment="1">
      <alignment horizontal="center" vertical="center"/>
    </xf>
    <xf numFmtId="0" fontId="12" fillId="0" borderId="8" xfId="0" applyFont="1" applyBorder="1" applyAlignment="1">
      <alignment horizontal="center" vertical="center"/>
    </xf>
    <xf numFmtId="14" fontId="12" fillId="0" borderId="8" xfId="0" applyNumberFormat="1" applyFont="1" applyBorder="1" applyAlignment="1">
      <alignment horizontal="center" vertical="center"/>
    </xf>
    <xf numFmtId="0" fontId="12" fillId="0" borderId="9" xfId="0" applyFont="1" applyBorder="1" applyAlignment="1">
      <alignment horizontal="center" vertical="center"/>
    </xf>
    <xf numFmtId="175" fontId="10" fillId="3" borderId="2" xfId="0" applyNumberFormat="1" applyFont="1" applyFill="1" applyBorder="1" applyAlignment="1">
      <alignment horizontal="center" vertical="center"/>
    </xf>
    <xf numFmtId="0" fontId="52" fillId="3" borderId="8" xfId="0" applyFont="1" applyFill="1" applyBorder="1" applyAlignment="1">
      <alignment horizontal="center" vertical="center"/>
    </xf>
    <xf numFmtId="0" fontId="52" fillId="3" borderId="6" xfId="0" applyFont="1" applyFill="1" applyBorder="1" applyAlignment="1">
      <alignment horizontal="center" vertical="center"/>
    </xf>
    <xf numFmtId="175" fontId="53" fillId="0" borderId="0" xfId="0" applyNumberFormat="1" applyFont="1" applyAlignment="1">
      <alignment horizontal="center" vertical="center"/>
    </xf>
    <xf numFmtId="0" fontId="13" fillId="0" borderId="0" xfId="0" applyFont="1" applyAlignment="1">
      <alignment horizontal="center"/>
    </xf>
    <xf numFmtId="175" fontId="13" fillId="0" borderId="0" xfId="0" applyNumberFormat="1" applyFont="1" applyAlignment="1">
      <alignment horizontal="center"/>
    </xf>
    <xf numFmtId="0" fontId="10" fillId="13" borderId="38" xfId="0" applyFont="1" applyFill="1" applyBorder="1" applyAlignment="1">
      <alignment horizontal="center" vertical="center"/>
    </xf>
    <xf numFmtId="0" fontId="50" fillId="4" borderId="1" xfId="0" applyFont="1" applyFill="1" applyBorder="1" applyAlignment="1">
      <alignment horizontal="left" vertical="top"/>
    </xf>
    <xf numFmtId="0" fontId="50" fillId="10" borderId="1" xfId="0" applyFont="1" applyFill="1" applyBorder="1" applyAlignment="1">
      <alignment horizontal="left" vertical="top"/>
    </xf>
    <xf numFmtId="0" fontId="50" fillId="9" borderId="1" xfId="0" applyFont="1" applyFill="1" applyBorder="1" applyAlignment="1">
      <alignment horizontal="left" vertical="top"/>
    </xf>
    <xf numFmtId="0" fontId="40" fillId="0" borderId="7" xfId="0" applyFont="1" applyBorder="1" applyAlignment="1">
      <alignment horizontal="center" vertical="center"/>
    </xf>
    <xf numFmtId="0" fontId="8" fillId="0" borderId="8" xfId="0" applyFont="1" applyBorder="1" applyAlignment="1">
      <alignment horizontal="center" vertical="center"/>
    </xf>
    <xf numFmtId="0" fontId="8" fillId="0" borderId="6" xfId="0" applyFont="1" applyBorder="1" applyAlignment="1">
      <alignment horizontal="center" vertical="center"/>
    </xf>
    <xf numFmtId="0" fontId="8" fillId="0" borderId="11" xfId="0" applyFont="1" applyBorder="1" applyAlignment="1">
      <alignment horizontal="center" vertical="center"/>
    </xf>
    <xf numFmtId="0" fontId="8" fillId="0" borderId="0" xfId="0" applyFont="1" applyAlignment="1">
      <alignment horizontal="center" vertical="center"/>
    </xf>
    <xf numFmtId="0" fontId="8" fillId="0" borderId="12" xfId="0" applyFont="1" applyBorder="1" applyAlignment="1">
      <alignment horizontal="center" vertical="center"/>
    </xf>
    <xf numFmtId="0" fontId="41" fillId="0" borderId="3" xfId="0" applyFont="1" applyBorder="1" applyAlignment="1">
      <alignment horizontal="right"/>
    </xf>
    <xf numFmtId="0" fontId="41" fillId="0" borderId="9" xfId="0" applyFont="1" applyBorder="1" applyAlignment="1">
      <alignment horizontal="right"/>
    </xf>
    <xf numFmtId="0" fontId="41" fillId="0" borderId="2" xfId="0" applyFont="1" applyBorder="1" applyAlignment="1">
      <alignment horizontal="right"/>
    </xf>
    <xf numFmtId="15" fontId="5" fillId="0" borderId="5" xfId="0" applyNumberFormat="1" applyFont="1" applyBorder="1" applyAlignment="1">
      <alignment horizontal="center"/>
    </xf>
    <xf numFmtId="15" fontId="5" fillId="0" borderId="13" xfId="0" applyNumberFormat="1" applyFont="1" applyBorder="1" applyAlignment="1">
      <alignment horizontal="center"/>
    </xf>
    <xf numFmtId="15" fontId="5" fillId="0" borderId="4" xfId="0" applyNumberFormat="1" applyFont="1" applyBorder="1" applyAlignment="1">
      <alignment horizontal="center"/>
    </xf>
    <xf numFmtId="0" fontId="24" fillId="7" borderId="1" xfId="0" applyFont="1" applyFill="1" applyBorder="1" applyAlignment="1">
      <alignment horizontal="center" vertical="center"/>
    </xf>
    <xf numFmtId="0" fontId="0" fillId="0" borderId="1" xfId="0" applyBorder="1" applyAlignment="1">
      <alignment horizontal="right"/>
    </xf>
    <xf numFmtId="0" fontId="42" fillId="0" borderId="14" xfId="0" applyFont="1" applyBorder="1" applyAlignment="1">
      <alignment horizontal="right"/>
    </xf>
    <xf numFmtId="0" fontId="49" fillId="5" borderId="14" xfId="0" applyFont="1" applyFill="1" applyBorder="1" applyAlignment="1">
      <alignment horizontal="right" vertical="center"/>
    </xf>
    <xf numFmtId="0" fontId="42" fillId="0" borderId="14" xfId="0" applyFont="1" applyBorder="1" applyAlignment="1">
      <alignment horizontal="right" wrapText="1"/>
    </xf>
    <xf numFmtId="0" fontId="43" fillId="5" borderId="14" xfId="0" applyFont="1" applyFill="1" applyBorder="1" applyAlignment="1">
      <alignment horizontal="center" vertical="center"/>
    </xf>
    <xf numFmtId="0" fontId="42" fillId="0" borderId="14" xfId="0" applyFont="1" applyBorder="1" applyAlignment="1">
      <alignment horizontal="center" textRotation="255" wrapText="1"/>
    </xf>
    <xf numFmtId="0" fontId="46" fillId="0" borderId="14" xfId="0" applyFont="1" applyBorder="1" applyAlignment="1">
      <alignment horizontal="center" wrapText="1"/>
    </xf>
    <xf numFmtId="0" fontId="9" fillId="0" borderId="14" xfId="0" applyFont="1" applyBorder="1" applyAlignment="1">
      <alignment horizontal="right"/>
    </xf>
    <xf numFmtId="0" fontId="1" fillId="0" borderId="14" xfId="0" applyFont="1" applyBorder="1" applyAlignment="1">
      <alignment horizontal="right"/>
    </xf>
    <xf numFmtId="0" fontId="16" fillId="0" borderId="14" xfId="0" applyFont="1" applyBorder="1" applyAlignment="1">
      <alignment horizontal="center" wrapText="1"/>
    </xf>
    <xf numFmtId="0" fontId="9" fillId="0" borderId="14" xfId="0" applyFont="1" applyBorder="1" applyAlignment="1">
      <alignment horizontal="center" textRotation="255" wrapText="1"/>
    </xf>
    <xf numFmtId="168" fontId="15" fillId="4" borderId="14" xfId="0" applyNumberFormat="1" applyFont="1" applyFill="1" applyBorder="1" applyAlignment="1">
      <alignment horizontal="center" vertical="center"/>
    </xf>
    <xf numFmtId="0" fontId="13" fillId="4" borderId="14" xfId="0" applyFont="1" applyFill="1" applyBorder="1" applyAlignment="1">
      <alignment horizontal="center"/>
    </xf>
    <xf numFmtId="0" fontId="9" fillId="0" borderId="14" xfId="0" applyFont="1" applyBorder="1" applyAlignment="1">
      <alignment horizontal="center" vertical="center"/>
    </xf>
    <xf numFmtId="14" fontId="12" fillId="0" borderId="38" xfId="0" applyNumberFormat="1" applyFont="1" applyBorder="1" applyAlignment="1">
      <alignment horizontal="center" vertical="center"/>
    </xf>
    <xf numFmtId="0" fontId="12" fillId="0" borderId="38" xfId="0" applyFont="1" applyBorder="1" applyAlignment="1">
      <alignment horizontal="center" vertical="center"/>
    </xf>
    <xf numFmtId="0" fontId="1" fillId="0" borderId="23" xfId="0" applyFont="1" applyBorder="1" applyAlignment="1">
      <alignment horizontal="center"/>
    </xf>
    <xf numFmtId="0" fontId="1" fillId="0" borderId="33" xfId="0" applyFont="1" applyBorder="1" applyAlignment="1">
      <alignment horizontal="center"/>
    </xf>
    <xf numFmtId="0" fontId="1" fillId="0" borderId="24" xfId="0" applyFont="1" applyBorder="1" applyAlignment="1">
      <alignment horizontal="center"/>
    </xf>
    <xf numFmtId="0" fontId="31" fillId="0" borderId="1" xfId="0" applyFont="1" applyBorder="1" applyAlignment="1">
      <alignment horizontal="right"/>
    </xf>
    <xf numFmtId="0" fontId="50" fillId="4" borderId="1" xfId="0" applyFont="1" applyFill="1" applyBorder="1" applyAlignment="1">
      <alignment horizontal="left" vertical="center"/>
    </xf>
    <xf numFmtId="0" fontId="22" fillId="0" borderId="1" xfId="0" applyFont="1" applyBorder="1" applyAlignment="1">
      <alignment horizontal="right"/>
    </xf>
    <xf numFmtId="0" fontId="0" fillId="0" borderId="0" xfId="0" applyAlignment="1">
      <alignment horizontal="right"/>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9" xfId="0" applyFont="1" applyFill="1" applyBorder="1" applyAlignment="1">
      <alignment horizontal="center" vertical="center"/>
    </xf>
    <xf numFmtId="0" fontId="53" fillId="0" borderId="9" xfId="0" applyFont="1" applyBorder="1" applyAlignment="1">
      <alignment horizontal="right" vertical="center"/>
    </xf>
    <xf numFmtId="173" fontId="11" fillId="0" borderId="38" xfId="0" applyNumberFormat="1" applyFont="1" applyFill="1" applyBorder="1" applyAlignment="1">
      <alignment horizontal="center" vertical="center" wrapText="1"/>
    </xf>
    <xf numFmtId="1" fontId="11" fillId="0" borderId="38" xfId="0" applyNumberFormat="1" applyFont="1" applyFill="1" applyBorder="1" applyAlignment="1">
      <alignment horizontal="center" vertical="center" wrapText="1"/>
    </xf>
    <xf numFmtId="0" fontId="11" fillId="0" borderId="38" xfId="0" applyFont="1" applyFill="1" applyBorder="1" applyAlignment="1">
      <alignment horizontal="center" vertical="center" wrapText="1"/>
    </xf>
    <xf numFmtId="165" fontId="11" fillId="0" borderId="38" xfId="0" applyNumberFormat="1" applyFont="1" applyFill="1" applyBorder="1" applyAlignment="1">
      <alignment horizontal="center" vertical="center" wrapText="1"/>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30" xfId="0" applyBorder="1" applyAlignment="1">
      <alignment horizontal="center" vertical="center"/>
    </xf>
    <xf numFmtId="0" fontId="32" fillId="0" borderId="36" xfId="0" applyFont="1" applyBorder="1" applyAlignment="1">
      <alignment horizontal="center" vertical="center"/>
    </xf>
    <xf numFmtId="0" fontId="0" fillId="0" borderId="25" xfId="0" applyBorder="1" applyAlignment="1">
      <alignment horizontal="left" vertical="center"/>
    </xf>
    <xf numFmtId="0" fontId="0" fillId="0" borderId="31" xfId="0" applyBorder="1" applyAlignment="1">
      <alignment horizontal="left" vertical="center"/>
    </xf>
    <xf numFmtId="0" fontId="0" fillId="0" borderId="27" xfId="0" applyBorder="1" applyAlignment="1">
      <alignment horizontal="left" vertical="center"/>
    </xf>
    <xf numFmtId="0" fontId="0" fillId="0" borderId="1" xfId="0" applyBorder="1" applyAlignment="1">
      <alignment horizontal="left" vertical="center"/>
    </xf>
    <xf numFmtId="0" fontId="0" fillId="0" borderId="29" xfId="0" applyBorder="1" applyAlignment="1">
      <alignment horizontal="left" vertical="center"/>
    </xf>
    <xf numFmtId="0" fontId="0" fillId="0" borderId="32" xfId="0" applyBorder="1" applyAlignment="1">
      <alignment horizontal="left" vertical="center"/>
    </xf>
    <xf numFmtId="0" fontId="31" fillId="0" borderId="34" xfId="0" applyFont="1" applyBorder="1" applyAlignment="1">
      <alignment horizontal="left" vertical="center"/>
    </xf>
    <xf numFmtId="0" fontId="31" fillId="0" borderId="35" xfId="0" applyFont="1" applyBorder="1" applyAlignment="1">
      <alignment horizontal="left" vertical="center"/>
    </xf>
  </cellXfs>
  <cellStyles count="1">
    <cellStyle name="Normal" xfId="0" builtinId="0"/>
  </cellStyles>
  <dxfs count="27">
    <dxf>
      <font>
        <color auto="1"/>
      </font>
      <fill>
        <patternFill>
          <bgColor rgb="FF92D050"/>
        </patternFill>
      </fill>
    </dxf>
    <dxf>
      <font>
        <b val="0"/>
        <i val="0"/>
        <strike val="0"/>
        <condense val="0"/>
        <extend val="0"/>
        <outline val="0"/>
        <shadow val="0"/>
        <u val="none"/>
        <vertAlign val="baseline"/>
        <sz val="11"/>
        <color theme="1"/>
        <name val="Calibri"/>
        <family val="2"/>
        <scheme val="minor"/>
      </font>
      <numFmt numFmtId="174" formatCode="m/d/yyyy\ h:mm"/>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m/d/yyyy"/>
      <alignment horizontal="center" vertical="center" textRotation="0" wrapText="0" indent="0" justifyLastLine="0" shrinkToFit="0" readingOrder="0"/>
    </dxf>
    <dxf>
      <border diagonalUp="0" diagonalDown="0" outline="0">
        <left style="thin">
          <color auto="1"/>
        </left>
        <right style="thin">
          <color indexed="64"/>
        </right>
        <top style="thin">
          <color auto="1"/>
        </top>
        <bottom style="thin">
          <color indexed="64"/>
        </bottom>
      </border>
    </dxf>
    <dxf>
      <font>
        <strike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DCE6F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Calibri"/>
        <family val="2"/>
        <scheme val="minor"/>
      </font>
      <numFmt numFmtId="2" formatCode="0.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dxf>
    <dxf>
      <border outline="0">
        <bottom style="thin">
          <color indexed="64"/>
        </bottom>
      </border>
    </dxf>
    <dxf>
      <font>
        <b/>
        <i val="0"/>
        <strike val="0"/>
        <condense val="0"/>
        <extend val="0"/>
        <outline val="0"/>
        <shadow val="0"/>
        <u val="none"/>
        <vertAlign val="baseline"/>
        <sz val="14"/>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2" formatCode="0.00"/>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Arial"/>
        <family val="2"/>
        <scheme val="none"/>
      </font>
      <numFmt numFmtId="165" formatCode="0.0;[Red]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family val="2"/>
        <scheme val="none"/>
      </font>
      <numFmt numFmtId="165" formatCode="0.0;[Red]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family val="2"/>
        <scheme val="none"/>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family val="2"/>
        <scheme val="none"/>
      </font>
      <numFmt numFmtId="173" formatCode="m/d/yy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11"/>
        <color rgb="FF000000"/>
        <name val="Arial"/>
        <family val="2"/>
        <scheme val="none"/>
      </font>
      <fill>
        <patternFill patternType="none">
          <fgColor indexed="64"/>
          <bgColor auto="1"/>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PivotTable Style 1" table="0" count="1" xr9:uid="{CC5FBD87-1F92-4C6D-A7E8-D4CB01F7CA92}">
      <tableStyleElement type="wholeTable" dxfId="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209550</xdr:colOff>
          <xdr:row>8</xdr:row>
          <xdr:rowOff>47625</xdr:rowOff>
        </xdr:from>
        <xdr:to>
          <xdr:col>2</xdr:col>
          <xdr:colOff>295275</xdr:colOff>
          <xdr:row>10</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339966"/>
                  </a:solidFill>
                  <a:latin typeface="Calibri"/>
                  <a:cs typeface="Calibri"/>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8</xdr:row>
          <xdr:rowOff>47625</xdr:rowOff>
        </xdr:from>
        <xdr:to>
          <xdr:col>4</xdr:col>
          <xdr:colOff>571500</xdr:colOff>
          <xdr:row>10</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800080"/>
                  </a:solidFill>
                  <a:latin typeface="Calibri"/>
                  <a:cs typeface="Calibri"/>
                </a:rPr>
                <a:t>GET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828675</xdr:colOff>
          <xdr:row>8</xdr:row>
          <xdr:rowOff>47625</xdr:rowOff>
        </xdr:from>
        <xdr:to>
          <xdr:col>7</xdr:col>
          <xdr:colOff>352425</xdr:colOff>
          <xdr:row>10</xdr:row>
          <xdr:rowOff>123825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3366FF"/>
                  </a:solidFill>
                  <a:latin typeface="Calibri"/>
                  <a:cs typeface="Calibri"/>
                </a:rPr>
                <a:t>ADVANCE Or RECOVERY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638175</xdr:colOff>
          <xdr:row>8</xdr:row>
          <xdr:rowOff>47625</xdr:rowOff>
        </xdr:from>
        <xdr:to>
          <xdr:col>9</xdr:col>
          <xdr:colOff>704850</xdr:colOff>
          <xdr:row>10</xdr:row>
          <xdr:rowOff>123825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FF6600"/>
                  </a:solidFill>
                  <a:latin typeface="Calibri"/>
                  <a:cs typeface="Calibri"/>
                </a:rPr>
                <a:t>SAVE BACKUP</a:t>
              </a:r>
            </a:p>
          </xdr:txBody>
        </xdr:sp>
        <xdr:clientData fPrintsWithSheet="0"/>
      </xdr:twoCellAnchor>
    </mc:Choice>
    <mc:Fallback/>
  </mc:AlternateContent>
  <xdr:twoCellAnchor editAs="oneCell">
    <xdr:from>
      <xdr:col>5</xdr:col>
      <xdr:colOff>285750</xdr:colOff>
      <xdr:row>4</xdr:row>
      <xdr:rowOff>190501</xdr:rowOff>
    </xdr:from>
    <xdr:to>
      <xdr:col>5</xdr:col>
      <xdr:colOff>571500</xdr:colOff>
      <xdr:row>6</xdr:row>
      <xdr:rowOff>67325</xdr:rowOff>
    </xdr:to>
    <xdr:pic macro="[0]!Calendar_Open_from_INDEX_Page">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9950" y="962026"/>
          <a:ext cx="285750" cy="314974"/>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257175</xdr:colOff>
          <xdr:row>6</xdr:row>
          <xdr:rowOff>133350</xdr:rowOff>
        </xdr:from>
        <xdr:to>
          <xdr:col>13</xdr:col>
          <xdr:colOff>200025</xdr:colOff>
          <xdr:row>9</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dbl" strike="noStrike" baseline="0">
                  <a:solidFill>
                    <a:srgbClr val="FF0000"/>
                  </a:solidFill>
                  <a:latin typeface="Calibri"/>
                  <a:cs typeface="Calibri"/>
                </a:rPr>
                <a:t>CLEAR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247650</xdr:colOff>
          <xdr:row>9</xdr:row>
          <xdr:rowOff>142875</xdr:rowOff>
        </xdr:from>
        <xdr:to>
          <xdr:col>13</xdr:col>
          <xdr:colOff>190500</xdr:colOff>
          <xdr:row>12</xdr:row>
          <xdr:rowOff>28575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dbl" strike="noStrike" baseline="0">
                  <a:solidFill>
                    <a:srgbClr val="FF0000"/>
                  </a:solidFill>
                  <a:latin typeface="Calibri"/>
                  <a:cs typeface="Calibri"/>
                </a:rPr>
                <a:t>CLEAR LOCAL_SALE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257175</xdr:colOff>
          <xdr:row>13</xdr:row>
          <xdr:rowOff>28575</xdr:rowOff>
        </xdr:from>
        <xdr:to>
          <xdr:col>13</xdr:col>
          <xdr:colOff>200025</xdr:colOff>
          <xdr:row>15</xdr:row>
          <xdr:rowOff>104775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800080"/>
                  </a:solidFill>
                  <a:latin typeface="Calibri"/>
                  <a:cs typeface="Calibri"/>
                </a:rPr>
                <a:t>FIND MISSING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318280</xdr:colOff>
      <xdr:row>1</xdr:row>
      <xdr:rowOff>14291</xdr:rowOff>
    </xdr:from>
    <xdr:to>
      <xdr:col>7</xdr:col>
      <xdr:colOff>318530</xdr:colOff>
      <xdr:row>49</xdr:row>
      <xdr:rowOff>75199</xdr:rowOff>
    </xdr:to>
    <xdr:cxnSp macro="">
      <xdr:nvCxnSpPr>
        <xdr:cNvPr id="2" name="Straight Connector 1">
          <a:extLst>
            <a:ext uri="{FF2B5EF4-FFF2-40B4-BE49-F238E27FC236}">
              <a16:creationId xmlns:a16="http://schemas.microsoft.com/office/drawing/2014/main" id="{00000000-0008-0000-0500-000002000000}"/>
            </a:ext>
          </a:extLst>
        </xdr:cNvPr>
        <xdr:cNvCxnSpPr>
          <a:stCxn id="3" idx="3"/>
          <a:endCxn id="4" idx="3"/>
        </xdr:cNvCxnSpPr>
      </xdr:nvCxnSpPr>
      <xdr:spPr>
        <a:xfrm flipH="1">
          <a:off x="3918730" y="395291"/>
          <a:ext cx="250" cy="10347908"/>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185737</xdr:colOff>
      <xdr:row>0</xdr:row>
      <xdr:rowOff>1</xdr:rowOff>
    </xdr:from>
    <xdr:to>
      <xdr:col>7</xdr:col>
      <xdr:colOff>451322</xdr:colOff>
      <xdr:row>1</xdr:row>
      <xdr:rowOff>14291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721335" y="64853"/>
          <a:ext cx="395290" cy="265585"/>
        </a:xfrm>
        <a:prstGeom prst="rect">
          <a:avLst/>
        </a:prstGeom>
      </xdr:spPr>
    </xdr:pic>
    <xdr:clientData/>
  </xdr:twoCellAnchor>
  <xdr:twoCellAnchor editAs="oneCell">
    <xdr:from>
      <xdr:col>7</xdr:col>
      <xdr:colOff>185487</xdr:colOff>
      <xdr:row>49</xdr:row>
      <xdr:rowOff>75199</xdr:rowOff>
    </xdr:from>
    <xdr:to>
      <xdr:col>7</xdr:col>
      <xdr:colOff>451072</xdr:colOff>
      <xdr:row>50</xdr:row>
      <xdr:rowOff>279989</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721085" y="10808051"/>
          <a:ext cx="395290" cy="265585"/>
        </a:xfrm>
        <a:prstGeom prst="rect">
          <a:avLst/>
        </a:prstGeom>
      </xdr:spPr>
    </xdr:pic>
    <xdr:clientData/>
  </xdr:twoCellAnchor>
  <xdr:twoCellAnchor editAs="oneCell">
    <xdr:from>
      <xdr:col>7</xdr:col>
      <xdr:colOff>185737</xdr:colOff>
      <xdr:row>53</xdr:row>
      <xdr:rowOff>10027</xdr:rowOff>
    </xdr:from>
    <xdr:to>
      <xdr:col>7</xdr:col>
      <xdr:colOff>451322</xdr:colOff>
      <xdr:row>54</xdr:row>
      <xdr:rowOff>24317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721335" y="11504879"/>
          <a:ext cx="395290" cy="265585"/>
        </a:xfrm>
        <a:prstGeom prst="rect">
          <a:avLst/>
        </a:prstGeom>
      </xdr:spPr>
    </xdr:pic>
    <xdr:clientData/>
  </xdr:twoCellAnchor>
  <xdr:twoCellAnchor editAs="oneCell">
    <xdr:from>
      <xdr:col>7</xdr:col>
      <xdr:colOff>185487</xdr:colOff>
      <xdr:row>102</xdr:row>
      <xdr:rowOff>65175</xdr:rowOff>
    </xdr:from>
    <xdr:to>
      <xdr:col>7</xdr:col>
      <xdr:colOff>451072</xdr:colOff>
      <xdr:row>103</xdr:row>
      <xdr:rowOff>269965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721085" y="22208977"/>
          <a:ext cx="395290" cy="265585"/>
        </a:xfrm>
        <a:prstGeom prst="rect">
          <a:avLst/>
        </a:prstGeom>
      </xdr:spPr>
    </xdr:pic>
    <xdr:clientData/>
  </xdr:twoCellAnchor>
  <xdr:twoCellAnchor editAs="oneCell">
    <xdr:from>
      <xdr:col>7</xdr:col>
      <xdr:colOff>185737</xdr:colOff>
      <xdr:row>106</xdr:row>
      <xdr:rowOff>10028</xdr:rowOff>
    </xdr:from>
    <xdr:to>
      <xdr:col>7</xdr:col>
      <xdr:colOff>451322</xdr:colOff>
      <xdr:row>107</xdr:row>
      <xdr:rowOff>24318</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721335" y="22896780"/>
          <a:ext cx="395290" cy="265585"/>
        </a:xfrm>
        <a:prstGeom prst="rect">
          <a:avLst/>
        </a:prstGeom>
      </xdr:spPr>
    </xdr:pic>
    <xdr:clientData/>
  </xdr:twoCellAnchor>
  <xdr:twoCellAnchor editAs="oneCell">
    <xdr:from>
      <xdr:col>7</xdr:col>
      <xdr:colOff>190500</xdr:colOff>
      <xdr:row>155</xdr:row>
      <xdr:rowOff>50137</xdr:rowOff>
    </xdr:from>
    <xdr:to>
      <xdr:col>7</xdr:col>
      <xdr:colOff>456085</xdr:colOff>
      <xdr:row>156</xdr:row>
      <xdr:rowOff>254927</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726098" y="33585839"/>
          <a:ext cx="395290" cy="265585"/>
        </a:xfrm>
        <a:prstGeom prst="rect">
          <a:avLst/>
        </a:prstGeom>
      </xdr:spPr>
    </xdr:pic>
    <xdr:clientData/>
  </xdr:twoCellAnchor>
  <xdr:twoCellAnchor editAs="oneCell">
    <xdr:from>
      <xdr:col>7</xdr:col>
      <xdr:colOff>185487</xdr:colOff>
      <xdr:row>159</xdr:row>
      <xdr:rowOff>19552</xdr:rowOff>
    </xdr:from>
    <xdr:to>
      <xdr:col>7</xdr:col>
      <xdr:colOff>451072</xdr:colOff>
      <xdr:row>160</xdr:row>
      <xdr:rowOff>33842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721085" y="34279154"/>
          <a:ext cx="395290" cy="265585"/>
        </a:xfrm>
        <a:prstGeom prst="rect">
          <a:avLst/>
        </a:prstGeom>
      </xdr:spPr>
    </xdr:pic>
    <xdr:clientData/>
  </xdr:twoCellAnchor>
  <xdr:twoCellAnchor editAs="oneCell">
    <xdr:from>
      <xdr:col>7</xdr:col>
      <xdr:colOff>181656</xdr:colOff>
      <xdr:row>208</xdr:row>
      <xdr:rowOff>74774</xdr:rowOff>
    </xdr:from>
    <xdr:to>
      <xdr:col>7</xdr:col>
      <xdr:colOff>447241</xdr:colOff>
      <xdr:row>209</xdr:row>
      <xdr:rowOff>280065</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717003" y="44993102"/>
          <a:ext cx="395791" cy="265585"/>
        </a:xfrm>
        <a:prstGeom prst="rect">
          <a:avLst/>
        </a:prstGeom>
      </xdr:spPr>
    </xdr:pic>
    <xdr:clientData/>
  </xdr:twoCellAnchor>
  <xdr:twoCellAnchor>
    <xdr:from>
      <xdr:col>7</xdr:col>
      <xdr:colOff>318280</xdr:colOff>
      <xdr:row>54</xdr:row>
      <xdr:rowOff>24317</xdr:rowOff>
    </xdr:from>
    <xdr:to>
      <xdr:col>7</xdr:col>
      <xdr:colOff>318530</xdr:colOff>
      <xdr:row>102</xdr:row>
      <xdr:rowOff>65175</xdr:rowOff>
    </xdr:to>
    <xdr:cxnSp macro="">
      <xdr:nvCxnSpPr>
        <xdr:cNvPr id="11" name="Straight Connector 10">
          <a:extLst>
            <a:ext uri="{FF2B5EF4-FFF2-40B4-BE49-F238E27FC236}">
              <a16:creationId xmlns:a16="http://schemas.microsoft.com/office/drawing/2014/main" id="{00000000-0008-0000-0500-00000B000000}"/>
            </a:ext>
          </a:extLst>
        </xdr:cNvPr>
        <xdr:cNvCxnSpPr>
          <a:stCxn id="5" idx="3"/>
          <a:endCxn id="6" idx="3"/>
        </xdr:cNvCxnSpPr>
      </xdr:nvCxnSpPr>
      <xdr:spPr>
        <a:xfrm flipH="1">
          <a:off x="3918730" y="11835317"/>
          <a:ext cx="250" cy="10308808"/>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318530</xdr:colOff>
      <xdr:row>107</xdr:row>
      <xdr:rowOff>24318</xdr:rowOff>
    </xdr:from>
    <xdr:to>
      <xdr:col>7</xdr:col>
      <xdr:colOff>323293</xdr:colOff>
      <xdr:row>155</xdr:row>
      <xdr:rowOff>50137</xdr:rowOff>
    </xdr:to>
    <xdr:cxnSp macro="">
      <xdr:nvCxnSpPr>
        <xdr:cNvPr id="12" name="Straight Connector 11">
          <a:extLst>
            <a:ext uri="{FF2B5EF4-FFF2-40B4-BE49-F238E27FC236}">
              <a16:creationId xmlns:a16="http://schemas.microsoft.com/office/drawing/2014/main" id="{00000000-0008-0000-0500-00000C000000}"/>
            </a:ext>
          </a:extLst>
        </xdr:cNvPr>
        <xdr:cNvCxnSpPr>
          <a:stCxn id="7" idx="3"/>
          <a:endCxn id="8" idx="3"/>
        </xdr:cNvCxnSpPr>
      </xdr:nvCxnSpPr>
      <xdr:spPr>
        <a:xfrm>
          <a:off x="3918980" y="23227218"/>
          <a:ext cx="4763" cy="10293769"/>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314448</xdr:colOff>
      <xdr:row>160</xdr:row>
      <xdr:rowOff>33842</xdr:rowOff>
    </xdr:from>
    <xdr:to>
      <xdr:col>7</xdr:col>
      <xdr:colOff>318280</xdr:colOff>
      <xdr:row>208</xdr:row>
      <xdr:rowOff>74774</xdr:rowOff>
    </xdr:to>
    <xdr:cxnSp macro="">
      <xdr:nvCxnSpPr>
        <xdr:cNvPr id="13" name="Straight Connector 12">
          <a:extLst>
            <a:ext uri="{FF2B5EF4-FFF2-40B4-BE49-F238E27FC236}">
              <a16:creationId xmlns:a16="http://schemas.microsoft.com/office/drawing/2014/main" id="{00000000-0008-0000-0500-00000D000000}"/>
            </a:ext>
          </a:extLst>
        </xdr:cNvPr>
        <xdr:cNvCxnSpPr>
          <a:stCxn id="9" idx="3"/>
          <a:endCxn id="10" idx="3"/>
        </xdr:cNvCxnSpPr>
      </xdr:nvCxnSpPr>
      <xdr:spPr>
        <a:xfrm flipH="1">
          <a:off x="3914898" y="34609592"/>
          <a:ext cx="3832" cy="103184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25</xdr:row>
      <xdr:rowOff>87474</xdr:rowOff>
    </xdr:from>
    <xdr:to>
      <xdr:col>1</xdr:col>
      <xdr:colOff>44688</xdr:colOff>
      <xdr:row>25</xdr:row>
      <xdr:rowOff>353059</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488149"/>
          <a:ext cx="330438" cy="265585"/>
        </a:xfrm>
        <a:prstGeom prst="rect">
          <a:avLst/>
        </a:prstGeom>
      </xdr:spPr>
    </xdr:pic>
    <xdr:clientData/>
  </xdr:twoCellAnchor>
  <xdr:twoCellAnchor editAs="oneCell">
    <xdr:from>
      <xdr:col>14</xdr:col>
      <xdr:colOff>239948</xdr:colOff>
      <xdr:row>25</xdr:row>
      <xdr:rowOff>75568</xdr:rowOff>
    </xdr:from>
    <xdr:to>
      <xdr:col>14</xdr:col>
      <xdr:colOff>635238</xdr:colOff>
      <xdr:row>25</xdr:row>
      <xdr:rowOff>341153</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7440848" y="5476243"/>
          <a:ext cx="395290" cy="265585"/>
        </a:xfrm>
        <a:prstGeom prst="rect">
          <a:avLst/>
        </a:prstGeom>
      </xdr:spPr>
    </xdr:pic>
    <xdr:clientData/>
  </xdr:twoCellAnchor>
  <xdr:twoCellAnchor>
    <xdr:from>
      <xdr:col>1</xdr:col>
      <xdr:colOff>44688</xdr:colOff>
      <xdr:row>25</xdr:row>
      <xdr:rowOff>208360</xdr:rowOff>
    </xdr:from>
    <xdr:to>
      <xdr:col>14</xdr:col>
      <xdr:colOff>239948</xdr:colOff>
      <xdr:row>25</xdr:row>
      <xdr:rowOff>220267</xdr:rowOff>
    </xdr:to>
    <xdr:cxnSp macro="">
      <xdr:nvCxnSpPr>
        <xdr:cNvPr id="16" name="Straight Connector 15">
          <a:extLst>
            <a:ext uri="{FF2B5EF4-FFF2-40B4-BE49-F238E27FC236}">
              <a16:creationId xmlns:a16="http://schemas.microsoft.com/office/drawing/2014/main" id="{00000000-0008-0000-0500-000010000000}"/>
            </a:ext>
          </a:extLst>
        </xdr:cNvPr>
        <xdr:cNvCxnSpPr>
          <a:stCxn id="14" idx="3"/>
          <a:endCxn id="15" idx="3"/>
        </xdr:cNvCxnSpPr>
      </xdr:nvCxnSpPr>
      <xdr:spPr>
        <a:xfrm flipV="1">
          <a:off x="330438" y="5609035"/>
          <a:ext cx="7110410" cy="119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78</xdr:row>
      <xdr:rowOff>95248</xdr:rowOff>
    </xdr:from>
    <xdr:to>
      <xdr:col>1</xdr:col>
      <xdr:colOff>44688</xdr:colOff>
      <xdr:row>78</xdr:row>
      <xdr:rowOff>360833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6916398"/>
          <a:ext cx="330438" cy="265585"/>
        </a:xfrm>
        <a:prstGeom prst="rect">
          <a:avLst/>
        </a:prstGeom>
      </xdr:spPr>
    </xdr:pic>
    <xdr:clientData/>
  </xdr:twoCellAnchor>
  <xdr:twoCellAnchor editAs="oneCell">
    <xdr:from>
      <xdr:col>14</xdr:col>
      <xdr:colOff>239948</xdr:colOff>
      <xdr:row>78</xdr:row>
      <xdr:rowOff>83342</xdr:rowOff>
    </xdr:from>
    <xdr:to>
      <xdr:col>14</xdr:col>
      <xdr:colOff>635238</xdr:colOff>
      <xdr:row>78</xdr:row>
      <xdr:rowOff>348927</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7440848" y="16904492"/>
          <a:ext cx="395290" cy="265585"/>
        </a:xfrm>
        <a:prstGeom prst="rect">
          <a:avLst/>
        </a:prstGeom>
      </xdr:spPr>
    </xdr:pic>
    <xdr:clientData/>
  </xdr:twoCellAnchor>
  <xdr:twoCellAnchor>
    <xdr:from>
      <xdr:col>1</xdr:col>
      <xdr:colOff>44688</xdr:colOff>
      <xdr:row>78</xdr:row>
      <xdr:rowOff>216134</xdr:rowOff>
    </xdr:from>
    <xdr:to>
      <xdr:col>14</xdr:col>
      <xdr:colOff>239948</xdr:colOff>
      <xdr:row>78</xdr:row>
      <xdr:rowOff>228041</xdr:rowOff>
    </xdr:to>
    <xdr:cxnSp macro="">
      <xdr:nvCxnSpPr>
        <xdr:cNvPr id="19" name="Straight Connector 18">
          <a:extLst>
            <a:ext uri="{FF2B5EF4-FFF2-40B4-BE49-F238E27FC236}">
              <a16:creationId xmlns:a16="http://schemas.microsoft.com/office/drawing/2014/main" id="{00000000-0008-0000-0500-000013000000}"/>
            </a:ext>
          </a:extLst>
        </xdr:cNvPr>
        <xdr:cNvCxnSpPr>
          <a:stCxn id="17" idx="3"/>
          <a:endCxn id="18" idx="3"/>
        </xdr:cNvCxnSpPr>
      </xdr:nvCxnSpPr>
      <xdr:spPr>
        <a:xfrm flipV="1">
          <a:off x="330438" y="17037284"/>
          <a:ext cx="7110410" cy="119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131</xdr:row>
      <xdr:rowOff>83342</xdr:rowOff>
    </xdr:from>
    <xdr:to>
      <xdr:col>1</xdr:col>
      <xdr:colOff>44688</xdr:colOff>
      <xdr:row>131</xdr:row>
      <xdr:rowOff>348927</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8296392"/>
          <a:ext cx="330438" cy="265585"/>
        </a:xfrm>
        <a:prstGeom prst="rect">
          <a:avLst/>
        </a:prstGeom>
      </xdr:spPr>
    </xdr:pic>
    <xdr:clientData/>
  </xdr:twoCellAnchor>
  <xdr:twoCellAnchor editAs="oneCell">
    <xdr:from>
      <xdr:col>14</xdr:col>
      <xdr:colOff>239948</xdr:colOff>
      <xdr:row>131</xdr:row>
      <xdr:rowOff>71436</xdr:rowOff>
    </xdr:from>
    <xdr:to>
      <xdr:col>14</xdr:col>
      <xdr:colOff>635238</xdr:colOff>
      <xdr:row>131</xdr:row>
      <xdr:rowOff>337021</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7440848" y="28284486"/>
          <a:ext cx="395290" cy="265585"/>
        </a:xfrm>
        <a:prstGeom prst="rect">
          <a:avLst/>
        </a:prstGeom>
      </xdr:spPr>
    </xdr:pic>
    <xdr:clientData/>
  </xdr:twoCellAnchor>
  <xdr:twoCellAnchor>
    <xdr:from>
      <xdr:col>1</xdr:col>
      <xdr:colOff>44688</xdr:colOff>
      <xdr:row>131</xdr:row>
      <xdr:rowOff>204228</xdr:rowOff>
    </xdr:from>
    <xdr:to>
      <xdr:col>14</xdr:col>
      <xdr:colOff>239948</xdr:colOff>
      <xdr:row>131</xdr:row>
      <xdr:rowOff>216135</xdr:rowOff>
    </xdr:to>
    <xdr:cxnSp macro="">
      <xdr:nvCxnSpPr>
        <xdr:cNvPr id="22" name="Straight Connector 21">
          <a:extLst>
            <a:ext uri="{FF2B5EF4-FFF2-40B4-BE49-F238E27FC236}">
              <a16:creationId xmlns:a16="http://schemas.microsoft.com/office/drawing/2014/main" id="{00000000-0008-0000-0500-000016000000}"/>
            </a:ext>
          </a:extLst>
        </xdr:cNvPr>
        <xdr:cNvCxnSpPr>
          <a:stCxn id="20" idx="3"/>
          <a:endCxn id="21" idx="3"/>
        </xdr:cNvCxnSpPr>
      </xdr:nvCxnSpPr>
      <xdr:spPr>
        <a:xfrm flipV="1">
          <a:off x="330438" y="28417278"/>
          <a:ext cx="7110410" cy="119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184</xdr:row>
      <xdr:rowOff>83342</xdr:rowOff>
    </xdr:from>
    <xdr:to>
      <xdr:col>1</xdr:col>
      <xdr:colOff>44688</xdr:colOff>
      <xdr:row>184</xdr:row>
      <xdr:rowOff>348927</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9669242"/>
          <a:ext cx="330438" cy="265585"/>
        </a:xfrm>
        <a:prstGeom prst="rect">
          <a:avLst/>
        </a:prstGeom>
      </xdr:spPr>
    </xdr:pic>
    <xdr:clientData/>
  </xdr:twoCellAnchor>
  <xdr:twoCellAnchor editAs="oneCell">
    <xdr:from>
      <xdr:col>14</xdr:col>
      <xdr:colOff>239948</xdr:colOff>
      <xdr:row>184</xdr:row>
      <xdr:rowOff>71436</xdr:rowOff>
    </xdr:from>
    <xdr:to>
      <xdr:col>14</xdr:col>
      <xdr:colOff>635238</xdr:colOff>
      <xdr:row>184</xdr:row>
      <xdr:rowOff>337021</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7440848" y="39657336"/>
          <a:ext cx="395290" cy="265585"/>
        </a:xfrm>
        <a:prstGeom prst="rect">
          <a:avLst/>
        </a:prstGeom>
      </xdr:spPr>
    </xdr:pic>
    <xdr:clientData/>
  </xdr:twoCellAnchor>
  <xdr:twoCellAnchor>
    <xdr:from>
      <xdr:col>1</xdr:col>
      <xdr:colOff>44688</xdr:colOff>
      <xdr:row>184</xdr:row>
      <xdr:rowOff>204228</xdr:rowOff>
    </xdr:from>
    <xdr:to>
      <xdr:col>14</xdr:col>
      <xdr:colOff>239948</xdr:colOff>
      <xdr:row>184</xdr:row>
      <xdr:rowOff>216135</xdr:rowOff>
    </xdr:to>
    <xdr:cxnSp macro="">
      <xdr:nvCxnSpPr>
        <xdr:cNvPr id="25" name="Straight Connector 24">
          <a:extLst>
            <a:ext uri="{FF2B5EF4-FFF2-40B4-BE49-F238E27FC236}">
              <a16:creationId xmlns:a16="http://schemas.microsoft.com/office/drawing/2014/main" id="{00000000-0008-0000-0500-000019000000}"/>
            </a:ext>
          </a:extLst>
        </xdr:cNvPr>
        <xdr:cNvCxnSpPr>
          <a:stCxn id="23" idx="3"/>
          <a:endCxn id="24" idx="3"/>
        </xdr:cNvCxnSpPr>
      </xdr:nvCxnSpPr>
      <xdr:spPr>
        <a:xfrm flipV="1">
          <a:off x="330438" y="39790128"/>
          <a:ext cx="7110410" cy="119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237</xdr:row>
      <xdr:rowOff>77389</xdr:rowOff>
    </xdr:from>
    <xdr:to>
      <xdr:col>1</xdr:col>
      <xdr:colOff>44688</xdr:colOff>
      <xdr:row>237</xdr:row>
      <xdr:rowOff>342974</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1045664"/>
          <a:ext cx="330438" cy="265585"/>
        </a:xfrm>
        <a:prstGeom prst="rect">
          <a:avLst/>
        </a:prstGeom>
      </xdr:spPr>
    </xdr:pic>
    <xdr:clientData/>
  </xdr:twoCellAnchor>
  <xdr:twoCellAnchor editAs="oneCell">
    <xdr:from>
      <xdr:col>14</xdr:col>
      <xdr:colOff>239948</xdr:colOff>
      <xdr:row>237</xdr:row>
      <xdr:rowOff>65483</xdr:rowOff>
    </xdr:from>
    <xdr:to>
      <xdr:col>14</xdr:col>
      <xdr:colOff>635238</xdr:colOff>
      <xdr:row>237</xdr:row>
      <xdr:rowOff>331068</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7440848" y="51033758"/>
          <a:ext cx="395290" cy="265585"/>
        </a:xfrm>
        <a:prstGeom prst="rect">
          <a:avLst/>
        </a:prstGeom>
      </xdr:spPr>
    </xdr:pic>
    <xdr:clientData/>
  </xdr:twoCellAnchor>
  <xdr:twoCellAnchor>
    <xdr:from>
      <xdr:col>1</xdr:col>
      <xdr:colOff>44688</xdr:colOff>
      <xdr:row>237</xdr:row>
      <xdr:rowOff>198275</xdr:rowOff>
    </xdr:from>
    <xdr:to>
      <xdr:col>14</xdr:col>
      <xdr:colOff>239948</xdr:colOff>
      <xdr:row>237</xdr:row>
      <xdr:rowOff>210182</xdr:rowOff>
    </xdr:to>
    <xdr:cxnSp macro="">
      <xdr:nvCxnSpPr>
        <xdr:cNvPr id="28" name="Straight Connector 27">
          <a:extLst>
            <a:ext uri="{FF2B5EF4-FFF2-40B4-BE49-F238E27FC236}">
              <a16:creationId xmlns:a16="http://schemas.microsoft.com/office/drawing/2014/main" id="{00000000-0008-0000-0500-00001C000000}"/>
            </a:ext>
          </a:extLst>
        </xdr:cNvPr>
        <xdr:cNvCxnSpPr>
          <a:stCxn id="26" idx="3"/>
          <a:endCxn id="27" idx="3"/>
        </xdr:cNvCxnSpPr>
      </xdr:nvCxnSpPr>
      <xdr:spPr>
        <a:xfrm flipV="1">
          <a:off x="330438" y="51166550"/>
          <a:ext cx="7110410" cy="119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194331</xdr:colOff>
      <xdr:row>212</xdr:row>
      <xdr:rowOff>123825</xdr:rowOff>
    </xdr:from>
    <xdr:to>
      <xdr:col>7</xdr:col>
      <xdr:colOff>459916</xdr:colOff>
      <xdr:row>213</xdr:row>
      <xdr:rowOff>138115</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729929" y="45784852"/>
          <a:ext cx="395290" cy="265585"/>
        </a:xfrm>
        <a:prstGeom prst="rect">
          <a:avLst/>
        </a:prstGeom>
      </xdr:spPr>
    </xdr:pic>
    <xdr:clientData/>
  </xdr:twoCellAnchor>
  <xdr:twoCellAnchor editAs="oneCell">
    <xdr:from>
      <xdr:col>7</xdr:col>
      <xdr:colOff>190500</xdr:colOff>
      <xdr:row>261</xdr:row>
      <xdr:rowOff>112372</xdr:rowOff>
    </xdr:from>
    <xdr:to>
      <xdr:col>7</xdr:col>
      <xdr:colOff>456085</xdr:colOff>
      <xdr:row>262</xdr:row>
      <xdr:rowOff>317663</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725847" y="56498800"/>
          <a:ext cx="395791" cy="265585"/>
        </a:xfrm>
        <a:prstGeom prst="rect">
          <a:avLst/>
        </a:prstGeom>
      </xdr:spPr>
    </xdr:pic>
    <xdr:clientData/>
  </xdr:twoCellAnchor>
  <xdr:twoCellAnchor>
    <xdr:from>
      <xdr:col>7</xdr:col>
      <xdr:colOff>323292</xdr:colOff>
      <xdr:row>213</xdr:row>
      <xdr:rowOff>138115</xdr:rowOff>
    </xdr:from>
    <xdr:to>
      <xdr:col>7</xdr:col>
      <xdr:colOff>327124</xdr:colOff>
      <xdr:row>261</xdr:row>
      <xdr:rowOff>112372</xdr:rowOff>
    </xdr:to>
    <xdr:cxnSp macro="">
      <xdr:nvCxnSpPr>
        <xdr:cNvPr id="31" name="Straight Connector 30">
          <a:extLst>
            <a:ext uri="{FF2B5EF4-FFF2-40B4-BE49-F238E27FC236}">
              <a16:creationId xmlns:a16="http://schemas.microsoft.com/office/drawing/2014/main" id="{00000000-0008-0000-0500-00001F000000}"/>
            </a:ext>
          </a:extLst>
        </xdr:cNvPr>
        <xdr:cNvCxnSpPr>
          <a:stCxn id="29" idx="3"/>
          <a:endCxn id="30" idx="3"/>
        </xdr:cNvCxnSpPr>
      </xdr:nvCxnSpPr>
      <xdr:spPr>
        <a:xfrm flipH="1">
          <a:off x="3923742" y="46115290"/>
          <a:ext cx="3832" cy="103184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318280</xdr:colOff>
      <xdr:row>2</xdr:row>
      <xdr:rowOff>14291</xdr:rowOff>
    </xdr:from>
    <xdr:to>
      <xdr:col>7</xdr:col>
      <xdr:colOff>318530</xdr:colOff>
      <xdr:row>49</xdr:row>
      <xdr:rowOff>75199</xdr:rowOff>
    </xdr:to>
    <xdr:cxnSp macro="">
      <xdr:nvCxnSpPr>
        <xdr:cNvPr id="3" name="Straight Connector 2">
          <a:extLst>
            <a:ext uri="{FF2B5EF4-FFF2-40B4-BE49-F238E27FC236}">
              <a16:creationId xmlns:a16="http://schemas.microsoft.com/office/drawing/2014/main" id="{00000000-0008-0000-0600-000003000000}"/>
            </a:ext>
          </a:extLst>
        </xdr:cNvPr>
        <xdr:cNvCxnSpPr>
          <a:stCxn id="5" idx="3"/>
          <a:endCxn id="6" idx="3"/>
        </xdr:cNvCxnSpPr>
      </xdr:nvCxnSpPr>
      <xdr:spPr>
        <a:xfrm flipH="1">
          <a:off x="3261505" y="395291"/>
          <a:ext cx="250" cy="8919158"/>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185737</xdr:colOff>
      <xdr:row>0</xdr:row>
      <xdr:rowOff>1</xdr:rowOff>
    </xdr:from>
    <xdr:to>
      <xdr:col>7</xdr:col>
      <xdr:colOff>451322</xdr:colOff>
      <xdr:row>2</xdr:row>
      <xdr:rowOff>14291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064110" y="64853"/>
          <a:ext cx="395290" cy="265585"/>
        </a:xfrm>
        <a:prstGeom prst="rect">
          <a:avLst/>
        </a:prstGeom>
      </xdr:spPr>
    </xdr:pic>
    <xdr:clientData/>
  </xdr:twoCellAnchor>
  <xdr:twoCellAnchor editAs="oneCell">
    <xdr:from>
      <xdr:col>7</xdr:col>
      <xdr:colOff>185487</xdr:colOff>
      <xdr:row>49</xdr:row>
      <xdr:rowOff>75199</xdr:rowOff>
    </xdr:from>
    <xdr:to>
      <xdr:col>7</xdr:col>
      <xdr:colOff>451072</xdr:colOff>
      <xdr:row>51</xdr:row>
      <xdr:rowOff>79964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063359" y="9379301"/>
          <a:ext cx="395290" cy="265585"/>
        </a:xfrm>
        <a:prstGeom prst="rect">
          <a:avLst/>
        </a:prstGeom>
      </xdr:spPr>
    </xdr:pic>
    <xdr:clientData/>
  </xdr:twoCellAnchor>
  <xdr:twoCellAnchor editAs="oneCell">
    <xdr:from>
      <xdr:col>7</xdr:col>
      <xdr:colOff>185737</xdr:colOff>
      <xdr:row>53</xdr:row>
      <xdr:rowOff>10027</xdr:rowOff>
    </xdr:from>
    <xdr:to>
      <xdr:col>7</xdr:col>
      <xdr:colOff>451322</xdr:colOff>
      <xdr:row>55</xdr:row>
      <xdr:rowOff>24317</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063609" y="9885629"/>
          <a:ext cx="395290" cy="265585"/>
        </a:xfrm>
        <a:prstGeom prst="rect">
          <a:avLst/>
        </a:prstGeom>
      </xdr:spPr>
    </xdr:pic>
    <xdr:clientData/>
  </xdr:twoCellAnchor>
  <xdr:twoCellAnchor editAs="oneCell">
    <xdr:from>
      <xdr:col>7</xdr:col>
      <xdr:colOff>185487</xdr:colOff>
      <xdr:row>102</xdr:row>
      <xdr:rowOff>65175</xdr:rowOff>
    </xdr:from>
    <xdr:to>
      <xdr:col>7</xdr:col>
      <xdr:colOff>451072</xdr:colOff>
      <xdr:row>104</xdr:row>
      <xdr:rowOff>69940</xdr:rowOff>
    </xdr:to>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063359" y="19124882"/>
          <a:ext cx="395290" cy="265585"/>
        </a:xfrm>
        <a:prstGeom prst="rect">
          <a:avLst/>
        </a:prstGeom>
      </xdr:spPr>
    </xdr:pic>
    <xdr:clientData/>
  </xdr:twoCellAnchor>
  <xdr:twoCellAnchor editAs="oneCell">
    <xdr:from>
      <xdr:col>7</xdr:col>
      <xdr:colOff>185737</xdr:colOff>
      <xdr:row>106</xdr:row>
      <xdr:rowOff>10028</xdr:rowOff>
    </xdr:from>
    <xdr:to>
      <xdr:col>7</xdr:col>
      <xdr:colOff>451322</xdr:colOff>
      <xdr:row>108</xdr:row>
      <xdr:rowOff>24318</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063609" y="19621183"/>
          <a:ext cx="395290" cy="265585"/>
        </a:xfrm>
        <a:prstGeom prst="rect">
          <a:avLst/>
        </a:prstGeom>
      </xdr:spPr>
    </xdr:pic>
    <xdr:clientData/>
  </xdr:twoCellAnchor>
  <xdr:twoCellAnchor editAs="oneCell">
    <xdr:from>
      <xdr:col>7</xdr:col>
      <xdr:colOff>190500</xdr:colOff>
      <xdr:row>155</xdr:row>
      <xdr:rowOff>50137</xdr:rowOff>
    </xdr:from>
    <xdr:to>
      <xdr:col>7</xdr:col>
      <xdr:colOff>456085</xdr:colOff>
      <xdr:row>157</xdr:row>
      <xdr:rowOff>54902</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068372" y="28845397"/>
          <a:ext cx="395290" cy="265585"/>
        </a:xfrm>
        <a:prstGeom prst="rect">
          <a:avLst/>
        </a:prstGeom>
      </xdr:spPr>
    </xdr:pic>
    <xdr:clientData/>
  </xdr:twoCellAnchor>
  <xdr:twoCellAnchor editAs="oneCell">
    <xdr:from>
      <xdr:col>7</xdr:col>
      <xdr:colOff>185487</xdr:colOff>
      <xdr:row>159</xdr:row>
      <xdr:rowOff>19552</xdr:rowOff>
    </xdr:from>
    <xdr:to>
      <xdr:col>7</xdr:col>
      <xdr:colOff>451072</xdr:colOff>
      <xdr:row>161</xdr:row>
      <xdr:rowOff>33842</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3063860" y="29345204"/>
          <a:ext cx="395290" cy="265585"/>
        </a:xfrm>
        <a:prstGeom prst="rect">
          <a:avLst/>
        </a:prstGeom>
      </xdr:spPr>
    </xdr:pic>
    <xdr:clientData/>
  </xdr:twoCellAnchor>
  <xdr:twoCellAnchor editAs="oneCell">
    <xdr:from>
      <xdr:col>7</xdr:col>
      <xdr:colOff>181656</xdr:colOff>
      <xdr:row>208</xdr:row>
      <xdr:rowOff>74774</xdr:rowOff>
    </xdr:from>
    <xdr:to>
      <xdr:col>7</xdr:col>
      <xdr:colOff>447241</xdr:colOff>
      <xdr:row>211</xdr:row>
      <xdr:rowOff>3840</xdr:rowOff>
    </xdr:to>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flipV="1">
          <a:off x="3059778" y="38535152"/>
          <a:ext cx="395791" cy="265585"/>
        </a:xfrm>
        <a:prstGeom prst="rect">
          <a:avLst/>
        </a:prstGeom>
      </xdr:spPr>
    </xdr:pic>
    <xdr:clientData/>
  </xdr:twoCellAnchor>
  <xdr:twoCellAnchor>
    <xdr:from>
      <xdr:col>7</xdr:col>
      <xdr:colOff>318280</xdr:colOff>
      <xdr:row>55</xdr:row>
      <xdr:rowOff>24317</xdr:rowOff>
    </xdr:from>
    <xdr:to>
      <xdr:col>7</xdr:col>
      <xdr:colOff>318530</xdr:colOff>
      <xdr:row>102</xdr:row>
      <xdr:rowOff>65175</xdr:rowOff>
    </xdr:to>
    <xdr:cxnSp macro="">
      <xdr:nvCxnSpPr>
        <xdr:cNvPr id="17" name="Straight Connector 16">
          <a:extLst>
            <a:ext uri="{FF2B5EF4-FFF2-40B4-BE49-F238E27FC236}">
              <a16:creationId xmlns:a16="http://schemas.microsoft.com/office/drawing/2014/main" id="{00000000-0008-0000-0600-000011000000}"/>
            </a:ext>
          </a:extLst>
        </xdr:cNvPr>
        <xdr:cNvCxnSpPr>
          <a:stCxn id="7" idx="3"/>
          <a:endCxn id="8" idx="3"/>
        </xdr:cNvCxnSpPr>
      </xdr:nvCxnSpPr>
      <xdr:spPr>
        <a:xfrm flipH="1">
          <a:off x="3259124" y="10216067"/>
          <a:ext cx="250" cy="8833624"/>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318530</xdr:colOff>
      <xdr:row>108</xdr:row>
      <xdr:rowOff>24318</xdr:rowOff>
    </xdr:from>
    <xdr:to>
      <xdr:col>7</xdr:col>
      <xdr:colOff>323293</xdr:colOff>
      <xdr:row>155</xdr:row>
      <xdr:rowOff>50137</xdr:rowOff>
    </xdr:to>
    <xdr:cxnSp macro="">
      <xdr:nvCxnSpPr>
        <xdr:cNvPr id="20" name="Straight Connector 19">
          <a:extLst>
            <a:ext uri="{FF2B5EF4-FFF2-40B4-BE49-F238E27FC236}">
              <a16:creationId xmlns:a16="http://schemas.microsoft.com/office/drawing/2014/main" id="{00000000-0008-0000-0600-000014000000}"/>
            </a:ext>
          </a:extLst>
        </xdr:cNvPr>
        <xdr:cNvCxnSpPr>
          <a:stCxn id="9" idx="3"/>
          <a:endCxn id="10" idx="3"/>
        </xdr:cNvCxnSpPr>
      </xdr:nvCxnSpPr>
      <xdr:spPr>
        <a:xfrm>
          <a:off x="3259374" y="19937521"/>
          <a:ext cx="4763" cy="8818585"/>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314448</xdr:colOff>
      <xdr:row>161</xdr:row>
      <xdr:rowOff>33842</xdr:rowOff>
    </xdr:from>
    <xdr:to>
      <xdr:col>7</xdr:col>
      <xdr:colOff>318280</xdr:colOff>
      <xdr:row>208</xdr:row>
      <xdr:rowOff>74774</xdr:rowOff>
    </xdr:to>
    <xdr:cxnSp macro="">
      <xdr:nvCxnSpPr>
        <xdr:cNvPr id="23" name="Straight Connector 22">
          <a:extLst>
            <a:ext uri="{FF2B5EF4-FFF2-40B4-BE49-F238E27FC236}">
              <a16:creationId xmlns:a16="http://schemas.microsoft.com/office/drawing/2014/main" id="{00000000-0008-0000-0600-000017000000}"/>
            </a:ext>
          </a:extLst>
        </xdr:cNvPr>
        <xdr:cNvCxnSpPr>
          <a:stCxn id="11" idx="3"/>
          <a:endCxn id="12" idx="3"/>
        </xdr:cNvCxnSpPr>
      </xdr:nvCxnSpPr>
      <xdr:spPr>
        <a:xfrm flipH="1">
          <a:off x="3257673" y="29675642"/>
          <a:ext cx="3832" cy="8794407"/>
        </a:xfrm>
        <a:prstGeom prst="line">
          <a:avLst/>
        </a:prstGeom>
        <a:ln w="9525">
          <a:solidFill>
            <a:schemeClr val="tx1">
              <a:lumMod val="95000"/>
              <a:lumOff val="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419100</xdr:colOff>
          <xdr:row>0</xdr:row>
          <xdr:rowOff>409575</xdr:rowOff>
        </xdr:from>
        <xdr:to>
          <xdr:col>16</xdr:col>
          <xdr:colOff>152400</xdr:colOff>
          <xdr:row>0</xdr:row>
          <xdr:rowOff>942975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190500</xdr:colOff>
          <xdr:row>0</xdr:row>
          <xdr:rowOff>152400</xdr:rowOff>
        </xdr:from>
        <xdr:to>
          <xdr:col>9</xdr:col>
          <xdr:colOff>419100</xdr:colOff>
          <xdr:row>3</xdr:row>
          <xdr:rowOff>19050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209550</xdr:colOff>
          <xdr:row>1</xdr:row>
          <xdr:rowOff>95250</xdr:rowOff>
        </xdr:from>
        <xdr:to>
          <xdr:col>12</xdr:col>
          <xdr:colOff>571500</xdr:colOff>
          <xdr:row>4</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D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CLEAR DATA</a:t>
              </a:r>
            </a:p>
          </xdr:txBody>
        </xdr:sp>
        <xdr:clientData fPrintsWithSheet="0"/>
      </xdr:twoCellAnchor>
    </mc:Choice>
    <mc:Fallback/>
  </mc:AlternateContent>
  <xdr:twoCellAnchor editAs="absolute">
    <xdr:from>
      <xdr:col>4</xdr:col>
      <xdr:colOff>57149</xdr:colOff>
      <xdr:row>15</xdr:row>
      <xdr:rowOff>47625</xdr:rowOff>
    </xdr:from>
    <xdr:to>
      <xdr:col>10</xdr:col>
      <xdr:colOff>114300</xdr:colOff>
      <xdr:row>25</xdr:row>
      <xdr:rowOff>171450</xdr:rowOff>
    </xdr:to>
    <mc:AlternateContent xmlns:mc="http://schemas.openxmlformats.org/markup-compatibility/2006" xmlns:sle15="http://schemas.microsoft.com/office/drawing/2012/slicer">
      <mc:Choice Requires="sle15">
        <xdr:graphicFrame macro="">
          <xdr:nvGraphicFramePr>
            <xdr:cNvPr id="2" name="Date">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047999" y="2905125"/>
              <a:ext cx="5591176" cy="20288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66675</xdr:colOff>
      <xdr:row>1</xdr:row>
      <xdr:rowOff>47625</xdr:rowOff>
    </xdr:from>
    <xdr:to>
      <xdr:col>8</xdr:col>
      <xdr:colOff>104776</xdr:colOff>
      <xdr:row>10</xdr:row>
      <xdr:rowOff>9525</xdr:rowOff>
    </xdr:to>
    <mc:AlternateContent xmlns:mc="http://schemas.openxmlformats.org/markup-compatibility/2006" xmlns:sle15="http://schemas.microsoft.com/office/drawing/2012/slicer">
      <mc:Choice Requires="sle15">
        <xdr:graphicFrame macro="">
          <xdr:nvGraphicFramePr>
            <xdr:cNvPr id="3" name="ID">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mlns="">
        <xdr:sp macro="" textlink="">
          <xdr:nvSpPr>
            <xdr:cNvPr id="0" name=""/>
            <xdr:cNvSpPr>
              <a:spLocks noTextEdit="1"/>
            </xdr:cNvSpPr>
          </xdr:nvSpPr>
          <xdr:spPr>
            <a:xfrm>
              <a:off x="3057525" y="238125"/>
              <a:ext cx="4352926" cy="11906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190500</xdr:colOff>
      <xdr:row>1</xdr:row>
      <xdr:rowOff>66675</xdr:rowOff>
    </xdr:from>
    <xdr:to>
      <xdr:col>10</xdr:col>
      <xdr:colOff>133350</xdr:colOff>
      <xdr:row>9</xdr:row>
      <xdr:rowOff>180975</xdr:rowOff>
    </xdr:to>
    <mc:AlternateContent xmlns:mc="http://schemas.openxmlformats.org/markup-compatibility/2006" xmlns:sle15="http://schemas.microsoft.com/office/drawing/2012/slicer">
      <mc:Choice Requires="sle15">
        <xdr:graphicFrame macro="">
          <xdr:nvGraphicFramePr>
            <xdr:cNvPr id="4" name="Session">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Session"/>
            </a:graphicData>
          </a:graphic>
        </xdr:graphicFrame>
      </mc:Choice>
      <mc:Fallback xmlns="">
        <xdr:sp macro="" textlink="">
          <xdr:nvSpPr>
            <xdr:cNvPr id="0" name=""/>
            <xdr:cNvSpPr>
              <a:spLocks noTextEdit="1"/>
            </xdr:cNvSpPr>
          </xdr:nvSpPr>
          <xdr:spPr>
            <a:xfrm>
              <a:off x="7496175" y="257175"/>
              <a:ext cx="1162050" cy="11525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314325</xdr:colOff>
      <xdr:row>3</xdr:row>
      <xdr:rowOff>95250</xdr:rowOff>
    </xdr:from>
    <xdr:to>
      <xdr:col>10</xdr:col>
      <xdr:colOff>200025</xdr:colOff>
      <xdr:row>8</xdr:row>
      <xdr:rowOff>9525</xdr:rowOff>
    </xdr:to>
    <xdr:sp macro="[0]!Test_Macro" textlink="">
      <xdr:nvSpPr>
        <xdr:cNvPr id="2" name="Rectangle: Rounded Corners 1">
          <a:extLst>
            <a:ext uri="{FF2B5EF4-FFF2-40B4-BE49-F238E27FC236}">
              <a16:creationId xmlns:a16="http://schemas.microsoft.com/office/drawing/2014/main" id="{00000000-0008-0000-1100-000002000000}"/>
            </a:ext>
          </a:extLst>
        </xdr:cNvPr>
        <xdr:cNvSpPr/>
      </xdr:nvSpPr>
      <xdr:spPr>
        <a:xfrm>
          <a:off x="4581525" y="666750"/>
          <a:ext cx="1714500" cy="866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Segoe UI" panose="020B0502040204020203" pitchFamily="34" charset="0"/>
              <a:cs typeface="Segoe UI" panose="020B0502040204020203" pitchFamily="34" charset="0"/>
            </a:rPr>
            <a:t>Run Test_Macro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tom_Export_Range_Manage_Depot_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ATA"/>
      <sheetName val="TEMP"/>
      <sheetName val="REPORT"/>
      <sheetName val="FINAL_REPORT"/>
      <sheetName val="tempSheet"/>
      <sheetName val="LOCAL_SALE"/>
      <sheetName val="CAL_DATA"/>
      <sheetName val="ADVANCE"/>
      <sheetName val="MISSING_DATA"/>
      <sheetName val="MEMBERS_INFO"/>
      <sheetName val="FAT_RATES_INFO"/>
      <sheetName val="Sheet2"/>
      <sheetName val="FilteredData"/>
      <sheetName val="Custom_Export_Range_Manage_Depo"/>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CB71A860-FF56-460D-8E08-1A37777C00CA}" sourceName="Date">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 xr10:uid="{D6A39F1F-EAAA-4091-9A77-CDE310F86C2E}" sourceName="ID">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 xr10:uid="{57CB2AB0-214A-493E-B481-08537A93AA46}" sourceName="Session">
  <extLst>
    <x:ext xmlns:x15="http://schemas.microsoft.com/office/spreadsheetml/2010/11/main" uri="{2F2917AC-EB37-4324-AD4E-5DD8C200BD13}">
      <x15:tableSlicerCache tableId="3"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4FE6F811-B817-4832-BE0C-321D155006F5}" cache="Slicer_Date" caption="Date" columnCount="3" rowHeight="241300"/>
  <slicer name="ID" xr10:uid="{9B8C1FD2-01FE-425E-8AC8-4A9CAE320386}" cache="Slicer_ID" caption="ID" columnCount="3" rowHeight="241300"/>
  <slicer name="Session" xr10:uid="{D695B259-C857-4E5F-B8CD-8E5DA664736B}" cache="Slicer_Session" caption="Sess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F3707E-1F53-46EF-A16E-DD79967FACF2}" name="DATA_TABLE" displayName="DATA_TABLE" ref="A1:F860" totalsRowShown="0" headerRowDxfId="25" dataDxfId="23" headerRowBorderDxfId="24" tableBorderDxfId="22" totalsRowBorderDxfId="21">
  <autoFilter ref="A1:F860" xr:uid="{09F3707E-1F53-46EF-A16E-DD79967FACF2}"/>
  <sortState xmlns:xlrd2="http://schemas.microsoft.com/office/spreadsheetml/2017/richdata2" ref="A15:F857">
    <sortCondition ref="C1:C860"/>
  </sortState>
  <tableColumns count="6">
    <tableColumn id="1" xr3:uid="{7DA758EA-8278-4E1F-B447-55A1C59569FD}" name="Date" dataDxfId="20"/>
    <tableColumn id="2" xr3:uid="{D4B13056-77B2-4369-A0E4-04BD41B6AE60}" name="ID" dataDxfId="19"/>
    <tableColumn id="3" xr3:uid="{15B440EE-1D08-4E6E-BCEB-833CEFFD3100}" name="AM / PM" dataDxfId="18"/>
    <tableColumn id="4" xr3:uid="{DD0589FC-ECD1-4BFC-B9C6-6D2B7AC189BA}" name="Qty" dataDxfId="17"/>
    <tableColumn id="5" xr3:uid="{6ABDD959-37FA-4692-ADED-48D7FA5CF104}" name="Fat" dataDxfId="16"/>
    <tableColumn id="6" xr3:uid="{74D0F277-682D-4115-995D-5CF54C9383C9}" name="Amount" dataDxfId="15">
      <calculatedColumnFormula>IFERROR(VLOOKUP(E2, Table2[],2, FALSE)*D2, "")</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1A97F2-358F-4D67-9F79-C1FB992B8A18}" name="Table2" displayName="Table2" ref="A1:B52" totalsRowShown="0" headerRowDxfId="14" dataDxfId="12" headerRowBorderDxfId="13" tableBorderDxfId="11" totalsRowBorderDxfId="10">
  <autoFilter ref="A1:B52" xr:uid="{E7B7549C-B76B-48FB-B2CA-BABA322E9C66}"/>
  <tableColumns count="2">
    <tableColumn id="1" xr3:uid="{EB291103-352B-41AA-BC08-74D30571BFDA}" name="Fat" dataDxfId="9"/>
    <tableColumn id="3" xr3:uid="{EA146CCE-D917-4136-B860-B9D608C38273}" name="Rate" dataDxfId="8">
      <calculatedColumnFormula>($E$1*Table2[[#This Row],[Fat]])/$D$1</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2847DA-7F34-4F5D-85C4-6802C8B09B60}" name="Table3" displayName="Table3" ref="A1:D117" totalsRowShown="0" headerRowDxfId="7" dataDxfId="6" tableBorderDxfId="5">
  <autoFilter ref="A1:D117" xr:uid="{FB458303-42B2-4CD8-9E37-3F0263DFBBA1}">
    <filterColumn colId="2">
      <filters>
        <filter val="PM"/>
      </filters>
    </filterColumn>
  </autoFilter>
  <tableColumns count="4">
    <tableColumn id="1" xr3:uid="{F6DD691F-AD7A-4D11-99FD-1219D681C096}" name="Date" dataDxfId="4"/>
    <tableColumn id="2" xr3:uid="{D0D8C071-0D6C-4B23-9B7E-93F64081FBA0}" name="ID" dataDxfId="3"/>
    <tableColumn id="3" xr3:uid="{7F7046CB-27D1-4A65-AE1A-B2918BD9705A}" name="Session" dataDxfId="2"/>
    <tableColumn id="4" xr3:uid="{686F807A-6D2C-4D0F-8969-DC2D0AA88B9D}" name="Timestamp" dataDxfId="1"/>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3.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3C413-973E-4C92-B6BC-EFE1FC58A1E2}">
  <sheetPr codeName="RUN"/>
  <dimension ref="A1:V39"/>
  <sheetViews>
    <sheetView showGridLines="0" tabSelected="1" zoomScaleNormal="100" workbookViewId="0">
      <selection activeCell="M28" sqref="M28"/>
    </sheetView>
  </sheetViews>
  <sheetFormatPr defaultColWidth="9.7109375" defaultRowHeight="15" x14ac:dyDescent="0.25"/>
  <cols>
    <col min="3" max="3" width="9.140625" customWidth="1"/>
    <col min="4" max="4" width="9.7109375" bestFit="1" customWidth="1"/>
    <col min="5" max="5" width="18" bestFit="1" customWidth="1"/>
    <col min="7" max="7" width="14.42578125" customWidth="1"/>
    <col min="8" max="8" width="9.7109375" bestFit="1" customWidth="1"/>
    <col min="9" max="9" width="10.7109375" bestFit="1" customWidth="1"/>
    <col min="10" max="10" width="12.85546875" bestFit="1" customWidth="1"/>
    <col min="11" max="14" width="9.42578125" customWidth="1"/>
    <col min="15" max="15" width="3.7109375" customWidth="1"/>
    <col min="16" max="16" width="9.7109375" bestFit="1" customWidth="1"/>
    <col min="21" max="21" width="12.5703125" bestFit="1" customWidth="1"/>
    <col min="22" max="22" width="11.5703125" bestFit="1" customWidth="1"/>
  </cols>
  <sheetData>
    <row r="1" spans="1:18" x14ac:dyDescent="0.25">
      <c r="A1" s="174" t="s">
        <v>18</v>
      </c>
      <c r="B1" s="175"/>
      <c r="C1" s="175"/>
      <c r="D1" s="175"/>
      <c r="E1" s="175"/>
      <c r="F1" s="175"/>
      <c r="G1" s="175"/>
      <c r="H1" s="175"/>
      <c r="I1" s="175"/>
      <c r="J1" s="175"/>
      <c r="K1" s="175"/>
      <c r="L1" s="175"/>
      <c r="M1" s="175"/>
      <c r="N1" s="176"/>
    </row>
    <row r="2" spans="1:18" x14ac:dyDescent="0.25">
      <c r="A2" s="177"/>
      <c r="B2" s="178"/>
      <c r="C2" s="178"/>
      <c r="D2" s="178"/>
      <c r="E2" s="178"/>
      <c r="F2" s="178"/>
      <c r="G2" s="178"/>
      <c r="H2" s="178"/>
      <c r="I2" s="178"/>
      <c r="J2" s="178"/>
      <c r="K2" s="178"/>
      <c r="L2" s="178"/>
      <c r="M2" s="178"/>
      <c r="N2" s="179"/>
    </row>
    <row r="3" spans="1:18" x14ac:dyDescent="0.25">
      <c r="A3" s="177"/>
      <c r="B3" s="178"/>
      <c r="C3" s="178"/>
      <c r="D3" s="178"/>
      <c r="E3" s="178"/>
      <c r="F3" s="178"/>
      <c r="G3" s="178"/>
      <c r="H3" s="178"/>
      <c r="I3" s="178"/>
      <c r="J3" s="178"/>
      <c r="K3" s="178"/>
      <c r="L3" s="178"/>
      <c r="M3" s="178"/>
      <c r="N3" s="179"/>
      <c r="P3" s="111"/>
      <c r="Q3" s="55" t="s">
        <v>37</v>
      </c>
      <c r="R3" s="55" t="s">
        <v>27</v>
      </c>
    </row>
    <row r="4" spans="1:18" ht="20.25" x14ac:dyDescent="0.55000000000000004">
      <c r="A4" s="180" t="s">
        <v>19</v>
      </c>
      <c r="B4" s="181"/>
      <c r="C4" s="181"/>
      <c r="D4" s="181"/>
      <c r="E4" s="181"/>
      <c r="F4" s="181"/>
      <c r="G4" s="181"/>
      <c r="H4" s="181"/>
      <c r="I4" s="181"/>
      <c r="J4" s="181"/>
      <c r="K4" s="181"/>
      <c r="L4" s="181"/>
      <c r="M4" s="181"/>
      <c r="N4" s="182"/>
      <c r="P4" s="56">
        <f>IF(G6 &lt;&gt;"",G6, "")</f>
        <v>45977</v>
      </c>
      <c r="Q4" s="54">
        <f>SUMIFS(DATA!$D$2:$D$1052,DATA!$A$2:$A$1052,P4,DATA!$C$2:$C$1052,$Q$3)</f>
        <v>93.600000000000023</v>
      </c>
      <c r="R4" s="54">
        <f>SUMIFS(DATA!$D$2:$D$1052,DATA!$A$2:$A$1052,P4,DATA!$C$2:$C$1052,$R$3)</f>
        <v>62.300000000000004</v>
      </c>
    </row>
    <row r="5" spans="1:18" ht="18.75" x14ac:dyDescent="0.3">
      <c r="A5" s="12"/>
      <c r="B5" s="15"/>
      <c r="C5" s="15"/>
      <c r="D5" s="15"/>
      <c r="E5" s="15"/>
      <c r="F5" s="15"/>
      <c r="G5" s="15"/>
      <c r="H5" s="15"/>
      <c r="I5" s="15"/>
      <c r="J5" s="15"/>
      <c r="K5" s="19" t="s">
        <v>20</v>
      </c>
      <c r="L5" s="183">
        <f ca="1">NOW()</f>
        <v>45991.905865393521</v>
      </c>
      <c r="M5" s="184"/>
      <c r="N5" s="185"/>
      <c r="P5" s="56">
        <f>IFERROR(P4+1, "")</f>
        <v>45978</v>
      </c>
      <c r="Q5" s="54">
        <f>SUMIFS(DATA!$D$2:$D$1052,DATA!$A$2:$A$1052,P5,DATA!$C$2:$C$1052,$Q$3)</f>
        <v>103.69999999999999</v>
      </c>
      <c r="R5" s="54">
        <f>SUMIFS(DATA!$D$2:$D$1052,DATA!$A$2:$A$1052,P5,DATA!$C$2:$C$1052,$R$3)</f>
        <v>58.400000000000006</v>
      </c>
    </row>
    <row r="6" spans="1:18" ht="15.75" x14ac:dyDescent="0.25">
      <c r="A6" s="13"/>
      <c r="B6" s="20" t="s">
        <v>21</v>
      </c>
      <c r="C6" s="58">
        <v>75</v>
      </c>
      <c r="E6" s="57" t="s">
        <v>47</v>
      </c>
      <c r="G6" s="117">
        <v>45977</v>
      </c>
      <c r="H6" s="117">
        <f>IF(DAY(G6) &gt; 15, EOMONTH(G6, 0), DATE(YEAR(G6), MONTH(G6), 15))</f>
        <v>45991</v>
      </c>
      <c r="N6" s="14"/>
      <c r="P6" s="56">
        <f t="shared" ref="P6:P16" si="0">IFERROR(P5+1, "")</f>
        <v>45979</v>
      </c>
      <c r="Q6" s="54">
        <f>SUMIFS(DATA!$D$2:$D$1052,DATA!$A$2:$A$1052,P6,DATA!$C$2:$C$1052,$Q$3)</f>
        <v>100.80000000000001</v>
      </c>
      <c r="R6" s="54">
        <f>SUMIFS(DATA!$D$2:$D$1052,DATA!$A$2:$A$1052,P6,DATA!$C$2:$C$1052,$R$3)</f>
        <v>58.300000000000004</v>
      </c>
    </row>
    <row r="7" spans="1:18" x14ac:dyDescent="0.25">
      <c r="A7" s="13"/>
      <c r="B7" s="64" t="s">
        <v>22</v>
      </c>
      <c r="H7" s="30"/>
      <c r="N7" s="14"/>
      <c r="P7" s="56">
        <f t="shared" si="0"/>
        <v>45980</v>
      </c>
      <c r="Q7" s="54">
        <f>SUMIFS(DATA!$D$2:$D$1052,DATA!$A$2:$A$1052,P7,DATA!$C$2:$C$1052,$Q$3)</f>
        <v>102.09999999999998</v>
      </c>
      <c r="R7" s="54">
        <f>SUMIFS(DATA!$D$2:$D$1052,DATA!$A$2:$A$1052,P7,DATA!$C$2:$C$1052,$R$3)</f>
        <v>60.9</v>
      </c>
    </row>
    <row r="8" spans="1:18" x14ac:dyDescent="0.25">
      <c r="A8" s="13"/>
      <c r="N8" s="14"/>
      <c r="P8" s="56">
        <f t="shared" si="0"/>
        <v>45981</v>
      </c>
      <c r="Q8" s="54">
        <f>SUMIFS(DATA!$D$2:$D$1052,DATA!$A$2:$A$1052,P8,DATA!$C$2:$C$1052,$Q$3)</f>
        <v>97</v>
      </c>
      <c r="R8" s="54">
        <f>SUMIFS(DATA!$D$2:$D$1052,DATA!$A$2:$A$1052,P8,DATA!$C$2:$C$1052,$R$3)</f>
        <v>57.8</v>
      </c>
    </row>
    <row r="9" spans="1:18" x14ac:dyDescent="0.25">
      <c r="A9" s="13"/>
      <c r="I9" s="30"/>
      <c r="N9" s="14"/>
      <c r="P9" s="56">
        <f t="shared" si="0"/>
        <v>45982</v>
      </c>
      <c r="Q9" s="54">
        <f>SUMIFS(DATA!$D$2:$D$1052,DATA!$A$2:$A$1052,P9,DATA!$C$2:$C$1052,$Q$3)</f>
        <v>103.3</v>
      </c>
      <c r="R9" s="54">
        <f>SUMIFS(DATA!$D$2:$D$1052,DATA!$A$2:$A$1052,P9,DATA!$C$2:$C$1052,$R$3)</f>
        <v>55.099999999999994</v>
      </c>
    </row>
    <row r="10" spans="1:18" x14ac:dyDescent="0.25">
      <c r="A10" s="13"/>
      <c r="I10" s="30"/>
      <c r="N10" s="14"/>
      <c r="P10" s="56">
        <f t="shared" si="0"/>
        <v>45983</v>
      </c>
      <c r="Q10" s="54">
        <f>SUMIFS(DATA!$D$2:$D$1052,DATA!$A$2:$A$1052,P10,DATA!$C$2:$C$1052,$Q$3)</f>
        <v>98.999999999999986</v>
      </c>
      <c r="R10" s="54">
        <f>SUMIFS(DATA!$D$2:$D$1052,DATA!$A$2:$A$1052,P10,DATA!$C$2:$C$1052,$R$3)</f>
        <v>53.400000000000006</v>
      </c>
    </row>
    <row r="11" spans="1:18" x14ac:dyDescent="0.25">
      <c r="A11" s="13"/>
      <c r="N11" s="14"/>
      <c r="P11" s="56">
        <f t="shared" si="0"/>
        <v>45984</v>
      </c>
      <c r="Q11" s="54">
        <f>SUMIFS(DATA!$D$2:$D$1052,DATA!$A$2:$A$1052,P11,DATA!$C$2:$C$1052,$Q$3)</f>
        <v>93.3</v>
      </c>
      <c r="R11" s="54">
        <f>SUMIFS(DATA!$D$2:$D$1052,DATA!$A$2:$A$1052,P11,DATA!$C$2:$C$1052,$R$3)</f>
        <v>53.9</v>
      </c>
    </row>
    <row r="12" spans="1:18" x14ac:dyDescent="0.25">
      <c r="A12" s="13"/>
      <c r="N12" s="14"/>
      <c r="P12" s="56">
        <f t="shared" si="0"/>
        <v>45985</v>
      </c>
      <c r="Q12" s="54">
        <f>SUMIFS(DATA!$D$2:$D$1052,DATA!$A$2:$A$1052,P12,DATA!$C$2:$C$1052,$Q$3)</f>
        <v>93.2</v>
      </c>
      <c r="R12" s="54">
        <f>SUMIFS(DATA!$D$2:$D$1052,DATA!$A$2:$A$1052,P12,DATA!$C$2:$C$1052,$R$3)</f>
        <v>54.599999999999994</v>
      </c>
    </row>
    <row r="13" spans="1:18" x14ac:dyDescent="0.25">
      <c r="A13" s="13"/>
      <c r="N13" s="14"/>
      <c r="P13" s="56">
        <f t="shared" si="0"/>
        <v>45986</v>
      </c>
      <c r="Q13" s="54">
        <f>SUMIFS(DATA!$D$2:$D$1052,DATA!$A$2:$A$1052,P13,DATA!$C$2:$C$1052,$Q$3)</f>
        <v>95.09999999999998</v>
      </c>
      <c r="R13" s="54">
        <f>SUMIFS(DATA!$D$2:$D$1052,DATA!$A$2:$A$1052,P13,DATA!$C$2:$C$1052,$R$3)</f>
        <v>54.3</v>
      </c>
    </row>
    <row r="14" spans="1:18" x14ac:dyDescent="0.25">
      <c r="A14" s="13"/>
      <c r="B14" s="63" t="s">
        <v>48</v>
      </c>
      <c r="C14" s="186" t="s">
        <v>44</v>
      </c>
      <c r="D14" s="186"/>
      <c r="E14" s="186"/>
      <c r="F14" s="63" t="s">
        <v>49</v>
      </c>
      <c r="G14" s="63" t="s">
        <v>25</v>
      </c>
      <c r="I14" s="63" t="s">
        <v>43</v>
      </c>
      <c r="J14" s="65" t="s">
        <v>54</v>
      </c>
      <c r="N14" s="14"/>
      <c r="P14" s="56">
        <f t="shared" si="0"/>
        <v>45987</v>
      </c>
      <c r="Q14" s="54">
        <f>SUMIFS(DATA!$D$2:$D$1052,DATA!$A$2:$A$1052,P14,DATA!$C$2:$C$1052,$Q$3)</f>
        <v>94.600000000000009</v>
      </c>
      <c r="R14" s="54">
        <f>SUMIFS(DATA!$D$2:$D$1052,DATA!$A$2:$A$1052,P14,DATA!$C$2:$C$1052,$R$3)</f>
        <v>56.300000000000004</v>
      </c>
    </row>
    <row r="15" spans="1:18" ht="14.25" customHeight="1" x14ac:dyDescent="0.25">
      <c r="A15" s="13"/>
      <c r="B15" s="59">
        <f>MEMBERS_INFO!A2</f>
        <v>1</v>
      </c>
      <c r="C15" s="171" t="str">
        <f>VLOOKUP(B15,MEMBERS_INFO!$A$2:$B$21,2, FALSE)</f>
        <v>నాసిన. అంకయ్య</v>
      </c>
      <c r="D15" s="171"/>
      <c r="E15" s="171"/>
      <c r="F15" s="60">
        <f>SUMIFS(DATA!$D$2:$D$1052,DATA!$B$2:$B$1052,B15,DATA!$A$2:$A$1052,"&gt;=" &amp; $G$6, DATA!$A$2:$A$1052,"&lt;=" &amp; $H$6)</f>
        <v>170.79999999999998</v>
      </c>
      <c r="G15" s="60">
        <f>SUMIFS(DATA!$F$2:$F$1052,DATA!$B$2:$B$1052,B15,DATA!$A$2:$A$1052,"&gt;=" &amp; $G$6, DATA!$A$2:$A$1052,"&lt;=" &amp; $H$6)</f>
        <v>10060.35</v>
      </c>
      <c r="I15" s="60">
        <f>SUMIFS(ADVANCE!$C$2:$C$1172,ADVANCE!$A$2:$A$1172,B15,ADVANCE!$B$2:$B$1172,"&gt;=" &amp; $G$6, ADVANCE!$B$2:$B$1172,"&lt;=" &amp; $H$6)</f>
        <v>0</v>
      </c>
      <c r="J15" s="60">
        <f>G15-I15</f>
        <v>10060.35</v>
      </c>
      <c r="N15" s="14"/>
      <c r="P15" s="56">
        <f t="shared" si="0"/>
        <v>45988</v>
      </c>
      <c r="Q15" s="54">
        <f>SUMIFS(DATA!$D$2:$D$1052,DATA!$A$2:$A$1052,P15,DATA!$C$2:$C$1052,$Q$3)</f>
        <v>92.399999999999991</v>
      </c>
      <c r="R15" s="54">
        <f>SUMIFS(DATA!$D$2:$D$1052,DATA!$A$2:$A$1052,P15,DATA!$C$2:$C$1052,$R$3)</f>
        <v>58.7</v>
      </c>
    </row>
    <row r="16" spans="1:18" ht="14.25" customHeight="1" x14ac:dyDescent="0.25">
      <c r="A16" s="13"/>
      <c r="B16" s="59">
        <f>MEMBERS_INFO!A3</f>
        <v>2</v>
      </c>
      <c r="C16" s="171" t="str">
        <f>VLOOKUP(B16,MEMBERS_INFO!$A$2:$B$21,2, FALSE)</f>
        <v>నాసిన. వాసు</v>
      </c>
      <c r="D16" s="171"/>
      <c r="E16" s="171"/>
      <c r="F16" s="60">
        <f>SUMIFS(DATA!$D$2:$D$1052,DATA!$B$2:$B$1052,B16,DATA!$A$2:$A$1052,"&gt;=" &amp; $G$6, DATA!$A$2:$A$1052,"&lt;=" &amp; $H$6)</f>
        <v>18.2</v>
      </c>
      <c r="G16" s="60">
        <f>SUMIFS(DATA!$F$2:$F$1052,DATA!$B$2:$B$1052,B16,DATA!$A$2:$A$1052,"&gt;=" &amp; $G$6, DATA!$A$2:$A$1052,"&lt;=" &amp; $H$6)</f>
        <v>1321.2</v>
      </c>
      <c r="I16" s="60">
        <f>SUMIFS(ADVANCE!$C$2:$C$1172,ADVANCE!$A$2:$A$1172,B16,ADVANCE!$B$2:$B$1172,"&gt;=" &amp; $G$6, ADVANCE!$B$2:$B$1172,"&lt;=" &amp; $H$6)</f>
        <v>0</v>
      </c>
      <c r="J16" s="60">
        <f t="shared" ref="J16:J30" si="1">G16-I16</f>
        <v>1321.2</v>
      </c>
      <c r="N16" s="14"/>
      <c r="P16" s="56">
        <f t="shared" si="0"/>
        <v>45989</v>
      </c>
      <c r="Q16" s="54">
        <f>SUMIFS(DATA!$D$2:$D$1052,DATA!$A$2:$A$1052,P16,DATA!$C$2:$C$1052,$Q$3)</f>
        <v>94.5</v>
      </c>
      <c r="R16" s="54">
        <f>SUMIFS(DATA!$D$2:$D$1052,DATA!$A$2:$A$1052,P16,DATA!$C$2:$C$1052,$R$3)</f>
        <v>55</v>
      </c>
    </row>
    <row r="17" spans="1:22" ht="14.25" customHeight="1" x14ac:dyDescent="0.25">
      <c r="A17" s="13"/>
      <c r="B17" s="59">
        <f>MEMBERS_INFO!A4</f>
        <v>3</v>
      </c>
      <c r="C17" s="171" t="str">
        <f>VLOOKUP(B17,MEMBERS_INFO!$A$2:$B$21,2, FALSE)</f>
        <v xml:space="preserve">నాసిన. సంపూర్ణమ్మ </v>
      </c>
      <c r="D17" s="171"/>
      <c r="E17" s="171"/>
      <c r="F17" s="60">
        <f>SUMIFS(DATA!$D$2:$D$1052,DATA!$B$2:$B$1052,B17,DATA!$A$2:$A$1052,"&gt;=" &amp; $G$6, DATA!$A$2:$A$1052,"&lt;=" &amp; $H$6)</f>
        <v>131.10000000000002</v>
      </c>
      <c r="G17" s="60">
        <f>SUMIFS(DATA!$F$2:$F$1052,DATA!$B$2:$B$1052,B17,DATA!$A$2:$A$1052,"&gt;=" &amp; $G$6, DATA!$A$2:$A$1052,"&lt;=" &amp; $H$6)</f>
        <v>6888.5250000000015</v>
      </c>
      <c r="I17" s="60">
        <f>SUMIFS(ADVANCE!$C$2:$C$1172,ADVANCE!$A$2:$A$1172,B17,ADVANCE!$B$2:$B$1172,"&gt;=" &amp; $G$6, ADVANCE!$B$2:$B$1172,"&lt;=" &amp; $H$6)</f>
        <v>0</v>
      </c>
      <c r="J17" s="60">
        <f t="shared" si="1"/>
        <v>6888.5250000000015</v>
      </c>
      <c r="N17" s="14"/>
      <c r="P17" s="56">
        <f>IFERROR(IF(P16+1 &lt;= H6, P16+1, ""), "")</f>
        <v>45990</v>
      </c>
      <c r="Q17" s="54">
        <f>SUMIFS(DATA!$D$2:$D$1052,DATA!$A$2:$A$1052,P17,DATA!$C$2:$C$1052,$Q$3)</f>
        <v>90.5</v>
      </c>
      <c r="R17" s="54">
        <f>SUMIFS(DATA!$D$2:$D$1052,DATA!$A$2:$A$1052,P17,DATA!$C$2:$C$1052,$R$3)</f>
        <v>54.1</v>
      </c>
    </row>
    <row r="18" spans="1:22" ht="14.25" customHeight="1" x14ac:dyDescent="0.25">
      <c r="A18" s="13"/>
      <c r="B18" s="59">
        <f>MEMBERS_INFO!A5</f>
        <v>4</v>
      </c>
      <c r="C18" s="171" t="str">
        <f>VLOOKUP(B18,MEMBERS_INFO!$A$2:$B$21,2, FALSE)</f>
        <v xml:space="preserve">గెద్దే. కొండయ్య </v>
      </c>
      <c r="D18" s="171"/>
      <c r="E18" s="171"/>
      <c r="F18" s="60">
        <f>SUMIFS(DATA!$D$2:$D$1052,DATA!$B$2:$B$1052,B18,DATA!$A$2:$A$1052,"&gt;=" &amp; $G$6, DATA!$A$2:$A$1052,"&lt;=" &amp; $H$6)</f>
        <v>432.40000000000003</v>
      </c>
      <c r="G18" s="60">
        <f>SUMIFS(DATA!$F$2:$F$1052,DATA!$B$2:$B$1052,B18,DATA!$A$2:$A$1052,"&gt;=" &amp; $G$6, DATA!$A$2:$A$1052,"&lt;=" &amp; $H$6)</f>
        <v>20859.224999999999</v>
      </c>
      <c r="I18" s="60">
        <f>SUMIFS(ADVANCE!$C$2:$C$1172,ADVANCE!$A$2:$A$1172,B18,ADVANCE!$B$2:$B$1172,"&gt;=" &amp; $G$6, ADVANCE!$B$2:$B$1172,"&lt;=" &amp; $H$6)</f>
        <v>0</v>
      </c>
      <c r="J18" s="60">
        <f t="shared" si="1"/>
        <v>20859.224999999999</v>
      </c>
      <c r="N18" s="14"/>
      <c r="P18" s="56">
        <f>IFERROR(IF(P17+1 &lt;= H6, P17+1, ""), "")</f>
        <v>45991</v>
      </c>
      <c r="Q18" s="54">
        <f>SUMIFS(DATA!$D$2:$D$1052,DATA!$A$2:$A$1052,P18,DATA!$C$2:$C$1052,$Q$3)</f>
        <v>93.300000000000011</v>
      </c>
      <c r="R18" s="54">
        <f>SUMIFS(DATA!$D$2:$D$1052,DATA!$A$2:$A$1052,P18,DATA!$C$2:$C$1052,$R$3)</f>
        <v>50.2</v>
      </c>
    </row>
    <row r="19" spans="1:22" ht="14.25" customHeight="1" x14ac:dyDescent="0.25">
      <c r="A19" s="13"/>
      <c r="B19" s="59">
        <f>MEMBERS_INFO!A6</f>
        <v>5</v>
      </c>
      <c r="C19" s="171" t="str">
        <f>VLOOKUP(B19,MEMBERS_INFO!$A$2:$B$21,2, FALSE)</f>
        <v>కుట్టుబోయిన. వరలక్ష్మమ్మ</v>
      </c>
      <c r="D19" s="171"/>
      <c r="E19" s="171"/>
      <c r="F19" s="60">
        <f>SUMIFS(DATA!$D$2:$D$1052,DATA!$B$2:$B$1052,B19,DATA!$A$2:$A$1052,"&gt;=" &amp; $G$6, DATA!$A$2:$A$1052,"&lt;=" &amp; $H$6)</f>
        <v>27.9</v>
      </c>
      <c r="G19" s="60">
        <f>SUMIFS(DATA!$F$2:$F$1052,DATA!$B$2:$B$1052,B19,DATA!$A$2:$A$1052,"&gt;=" &amp; $G$6, DATA!$A$2:$A$1052,"&lt;=" &amp; $H$6)</f>
        <v>2092.5</v>
      </c>
      <c r="I19" s="60">
        <f>SUMIFS(ADVANCE!$C$2:$C$1172,ADVANCE!$A$2:$A$1172,B19,ADVANCE!$B$2:$B$1172,"&gt;=" &amp; $G$6, ADVANCE!$B$2:$B$1172,"&lt;=" &amp; $H$6)</f>
        <v>0</v>
      </c>
      <c r="J19" s="60">
        <f t="shared" si="1"/>
        <v>2092.5</v>
      </c>
      <c r="N19" s="14"/>
      <c r="P19" s="56" t="str">
        <f>IFERROR(IF(P18+1 &lt;= H6, P18+1, ""), "")</f>
        <v/>
      </c>
      <c r="Q19" s="54">
        <f>SUMIFS(DATA!$D$2:$D$1052,DATA!$A$2:$A$1052,P19,DATA!$C$2:$C$1052,$Q$3)</f>
        <v>0</v>
      </c>
      <c r="R19" s="54">
        <f>SUMIFS(DATA!$D$2:$D$1052,DATA!$A$2:$A$1052,P19,DATA!$C$2:$C$1052,$R$3)</f>
        <v>0</v>
      </c>
    </row>
    <row r="20" spans="1:22" ht="14.25" customHeight="1" x14ac:dyDescent="0.25">
      <c r="A20" s="13"/>
      <c r="B20" s="59">
        <f>MEMBERS_INFO!A7</f>
        <v>6</v>
      </c>
      <c r="C20" s="172" t="str">
        <f>VLOOKUP(B20,MEMBERS_INFO!$A$2:$B$21,2, FALSE)</f>
        <v xml:space="preserve">వెలినేని. సుగుణమ్మ </v>
      </c>
      <c r="D20" s="173"/>
      <c r="E20" s="173"/>
      <c r="F20" s="60">
        <f>SUMIFS(DATA!$D$2:$D$1052,DATA!$B$2:$B$1052,B20,DATA!$A$2:$A$1052,"&gt;=" &amp; $G$6, DATA!$A$2:$A$1052,"&lt;=" &amp; $H$6)</f>
        <v>282</v>
      </c>
      <c r="G20" s="60">
        <f>SUMIFS(DATA!$F$2:$F$1052,DATA!$B$2:$B$1052,B20,DATA!$A$2:$A$1052,"&gt;=" &amp; $G$6, DATA!$A$2:$A$1052,"&lt;=" &amp; $H$6)</f>
        <v>14513.924999999996</v>
      </c>
      <c r="I20" s="60">
        <f>SUMIFS(ADVANCE!$C$2:$C$1172,ADVANCE!$A$2:$A$1172,B20,ADVANCE!$B$2:$B$1172,"&gt;=" &amp; $G$6, ADVANCE!$B$2:$B$1172,"&lt;=" &amp; $H$6)</f>
        <v>0</v>
      </c>
      <c r="J20" s="60">
        <f t="shared" si="1"/>
        <v>14513.924999999996</v>
      </c>
      <c r="N20" s="14"/>
      <c r="P20" s="30"/>
    </row>
    <row r="21" spans="1:22" ht="14.25" customHeight="1" x14ac:dyDescent="0.25">
      <c r="A21" s="13"/>
      <c r="B21" s="59">
        <f>MEMBERS_INFO!A8</f>
        <v>7</v>
      </c>
      <c r="C21" s="171" t="str">
        <f>VLOOKUP(B21,MEMBERS_INFO!$A$2:$B$21,2, FALSE)</f>
        <v xml:space="preserve">వడ్లమాని. రాఘవులు నాయుడు </v>
      </c>
      <c r="D21" s="171"/>
      <c r="E21" s="171"/>
      <c r="F21" s="60">
        <f>SUMIFS(DATA!$D$2:$D$1052,DATA!$B$2:$B$1052,B21,DATA!$A$2:$A$1052,"&gt;=" &amp; $G$6, DATA!$A$2:$A$1052,"&lt;=" &amp; $H$6)</f>
        <v>36.200000000000003</v>
      </c>
      <c r="G21" s="60">
        <f>SUMIFS(DATA!$F$2:$F$1052,DATA!$B$2:$B$1052,B21,DATA!$A$2:$A$1052,"&gt;=" &amp; $G$6, DATA!$A$2:$A$1052,"&lt;=" &amp; $H$6)</f>
        <v>2006.7750000000001</v>
      </c>
      <c r="I21" s="60">
        <f>SUMIFS(ADVANCE!$C$2:$C$1172,ADVANCE!$A$2:$A$1172,B21,ADVANCE!$B$2:$B$1172,"&gt;=" &amp; $G$6, ADVANCE!$B$2:$B$1172,"&lt;=" &amp; $H$6)</f>
        <v>0</v>
      </c>
      <c r="J21" s="60">
        <f t="shared" si="1"/>
        <v>2006.7750000000001</v>
      </c>
      <c r="N21" s="14"/>
      <c r="P21" s="30"/>
    </row>
    <row r="22" spans="1:22" ht="14.25" customHeight="1" x14ac:dyDescent="0.25">
      <c r="A22" s="13"/>
      <c r="B22" s="59">
        <f>MEMBERS_INFO!A9</f>
        <v>8</v>
      </c>
      <c r="C22" s="171" t="str">
        <f>VLOOKUP(B22,MEMBERS_INFO!$A$2:$B$21,2, FALSE)</f>
        <v xml:space="preserve">వెలినేని. రవణమ్మ </v>
      </c>
      <c r="D22" s="171"/>
      <c r="E22" s="171"/>
      <c r="F22" s="60">
        <f>SUMIFS(DATA!$D$2:$D$1052,DATA!$B$2:$B$1052,B22,DATA!$A$2:$A$1052,"&gt;=" &amp; $G$6, DATA!$A$2:$A$1052,"&lt;=" &amp; $H$6)</f>
        <v>195.10000000000005</v>
      </c>
      <c r="G22" s="60">
        <f>SUMIFS(DATA!$F$2:$F$1052,DATA!$B$2:$B$1052,B22,DATA!$A$2:$A$1052,"&gt;=" &amp; $G$6, DATA!$A$2:$A$1052,"&lt;=" &amp; $H$6)</f>
        <v>9223.125</v>
      </c>
      <c r="I22" s="60">
        <f>SUMIFS(ADVANCE!$C$2:$C$1172,ADVANCE!$A$2:$A$1172,B22,ADVANCE!$B$2:$B$1172,"&gt;=" &amp; $G$6, ADVANCE!$B$2:$B$1172,"&lt;=" &amp; $H$6)</f>
        <v>1000</v>
      </c>
      <c r="J22" s="60">
        <f t="shared" si="1"/>
        <v>8223.125</v>
      </c>
      <c r="N22" s="14"/>
      <c r="P22" s="30"/>
    </row>
    <row r="23" spans="1:22" ht="14.25" customHeight="1" x14ac:dyDescent="0.25">
      <c r="A23" s="13"/>
      <c r="B23" s="59">
        <f>MEMBERS_INFO!A10</f>
        <v>9</v>
      </c>
      <c r="C23" s="171" t="str">
        <f>VLOOKUP(B23,MEMBERS_INFO!$A$2:$B$21,2, FALSE)</f>
        <v>వడ్లమాని. అల్లిబాబు</v>
      </c>
      <c r="D23" s="171"/>
      <c r="E23" s="171"/>
      <c r="F23" s="60">
        <f>SUMIFS(DATA!$D$2:$D$1052,DATA!$B$2:$B$1052,B23,DATA!$A$2:$A$1052,"&gt;=" &amp; $G$6, DATA!$A$2:$A$1052,"&lt;=" &amp; $H$6)</f>
        <v>28.099999999999994</v>
      </c>
      <c r="G23" s="60">
        <f>SUMIFS(DATA!$F$2:$F$1052,DATA!$B$2:$B$1052,B23,DATA!$A$2:$A$1052,"&gt;=" &amp; $G$6, DATA!$A$2:$A$1052,"&lt;=" &amp; $H$6)</f>
        <v>1811.7749999999999</v>
      </c>
      <c r="I23" s="60">
        <f>SUMIFS(ADVANCE!$C$2:$C$1172,ADVANCE!$A$2:$A$1172,B23,ADVANCE!$B$2:$B$1172,"&gt;=" &amp; $G$6, ADVANCE!$B$2:$B$1172,"&lt;=" &amp; $H$6)</f>
        <v>0</v>
      </c>
      <c r="J23" s="60">
        <f t="shared" si="1"/>
        <v>1811.7749999999999</v>
      </c>
      <c r="N23" s="14"/>
    </row>
    <row r="24" spans="1:22" ht="14.25" customHeight="1" x14ac:dyDescent="0.25">
      <c r="A24" s="13"/>
      <c r="B24" s="59">
        <f>MEMBERS_INFO!A11</f>
        <v>10</v>
      </c>
      <c r="C24" s="171" t="str">
        <f>VLOOKUP(B24,MEMBERS_INFO!$A$2:$B$21,2, FALSE)</f>
        <v xml:space="preserve">వడ్లమాని. అనిల్ </v>
      </c>
      <c r="D24" s="171"/>
      <c r="E24" s="171"/>
      <c r="F24" s="60">
        <f>SUMIFS(DATA!$D$2:$D$1052,DATA!$B$2:$B$1052,B24,DATA!$A$2:$A$1052,"&gt;=" &amp; $G$6, DATA!$A$2:$A$1052,"&lt;=" &amp; $H$6)</f>
        <v>195.1</v>
      </c>
      <c r="G24" s="60">
        <f>SUMIFS(DATA!$F$2:$F$1052,DATA!$B$2:$B$1052,B24,DATA!$A$2:$A$1052,"&gt;=" &amp; $G$6, DATA!$A$2:$A$1052,"&lt;=" &amp; $H$6)</f>
        <v>11647.424999999999</v>
      </c>
      <c r="I24" s="60">
        <f>SUMIFS(ADVANCE!$C$2:$C$1172,ADVANCE!$A$2:$A$1172,B24,ADVANCE!$B$2:$B$1172,"&gt;=" &amp; $G$6, ADVANCE!$B$2:$B$1172,"&lt;=" &amp; $H$6)</f>
        <v>996</v>
      </c>
      <c r="J24" s="60">
        <f t="shared" si="1"/>
        <v>10651.424999999999</v>
      </c>
      <c r="N24" s="14"/>
    </row>
    <row r="25" spans="1:22" ht="14.25" customHeight="1" x14ac:dyDescent="0.25">
      <c r="A25" s="13"/>
      <c r="B25" s="59">
        <f>MEMBERS_INFO!A12</f>
        <v>11</v>
      </c>
      <c r="C25" s="171" t="str">
        <f>VLOOKUP(B25,MEMBERS_INFO!$A$2:$B$21,2, FALSE)</f>
        <v>వడ్లమాని. దొరసానమ్మ</v>
      </c>
      <c r="D25" s="171"/>
      <c r="E25" s="171"/>
      <c r="F25" s="60">
        <f>SUMIFS(DATA!$D$2:$D$1052,DATA!$B$2:$B$1052,B25,DATA!$A$2:$A$1052,"&gt;=" &amp; $G$6, DATA!$A$2:$A$1052,"&lt;=" &amp; $H$6)</f>
        <v>55.800000000000011</v>
      </c>
      <c r="G25" s="60">
        <f>SUMIFS(DATA!$F$2:$F$1052,DATA!$B$2:$B$1052,B25,DATA!$A$2:$A$1052,"&gt;=" &amp; $G$6, DATA!$A$2:$A$1052,"&lt;=" &amp; $H$6)</f>
        <v>3821.55</v>
      </c>
      <c r="I25" s="60">
        <f>SUMIFS(ADVANCE!$C$2:$C$1172,ADVANCE!$A$2:$A$1172,B25,ADVANCE!$B$2:$B$1172,"&gt;=" &amp; $G$6, ADVANCE!$B$2:$B$1172,"&lt;=" &amp; $H$6)</f>
        <v>0</v>
      </c>
      <c r="J25" s="60">
        <f t="shared" si="1"/>
        <v>3821.55</v>
      </c>
      <c r="N25" s="14"/>
      <c r="V25" s="112"/>
    </row>
    <row r="26" spans="1:22" ht="14.25" customHeight="1" x14ac:dyDescent="0.25">
      <c r="A26" s="13"/>
      <c r="B26" s="59">
        <f>MEMBERS_INFO!A13</f>
        <v>12</v>
      </c>
      <c r="C26" s="171" t="str">
        <f>VLOOKUP(B26,MEMBERS_INFO!$A$2:$B$21,2, FALSE)</f>
        <v>కాకుటూరి. నాగేశ్వరరావు</v>
      </c>
      <c r="D26" s="171"/>
      <c r="E26" s="171"/>
      <c r="F26" s="60">
        <f>SUMIFS(DATA!$D$2:$D$1052,DATA!$B$2:$B$1052,B26,DATA!$A$2:$A$1052,"&gt;=" &amp; $G$6, DATA!$A$2:$A$1052,"&lt;=" &amp; $H$6)</f>
        <v>108.80000000000004</v>
      </c>
      <c r="G26" s="60">
        <f>SUMIFS(DATA!$F$2:$F$1052,DATA!$B$2:$B$1052,B26,DATA!$A$2:$A$1052,"&gt;=" &amp; $G$6, DATA!$A$2:$A$1052,"&lt;=" &amp; $H$6)</f>
        <v>5142</v>
      </c>
      <c r="I26" s="60">
        <f>SUMIFS(ADVANCE!$C$2:$C$1172,ADVANCE!$A$2:$A$1172,B26,ADVANCE!$B$2:$B$1172,"&gt;=" &amp; $G$6, ADVANCE!$B$2:$B$1172,"&lt;=" &amp; $H$6)</f>
        <v>0</v>
      </c>
      <c r="J26" s="60">
        <f t="shared" si="1"/>
        <v>5142</v>
      </c>
      <c r="N26" s="14"/>
      <c r="V26" s="112"/>
    </row>
    <row r="27" spans="1:22" ht="14.25" customHeight="1" x14ac:dyDescent="0.25">
      <c r="A27" s="13"/>
      <c r="B27" s="59">
        <f>MEMBERS_INFO!A14</f>
        <v>13</v>
      </c>
      <c r="C27" s="171" t="str">
        <f>VLOOKUP(B27,MEMBERS_INFO!$A$2:$B$21,2, FALSE)</f>
        <v xml:space="preserve">చిట్టిబోయిన. వేంకటేశ్వర్లు </v>
      </c>
      <c r="D27" s="171"/>
      <c r="E27" s="171"/>
      <c r="F27" s="60">
        <f>SUMIFS(DATA!$D$2:$D$1052,DATA!$B$2:$B$1052,B27,DATA!$A$2:$A$1052,"&gt;=" &amp; $G$6, DATA!$A$2:$A$1052,"&lt;=" &amp; $H$6)</f>
        <v>93.699999999999974</v>
      </c>
      <c r="G27" s="60">
        <f>SUMIFS(DATA!$F$2:$F$1052,DATA!$B$2:$B$1052,B27,DATA!$A$2:$A$1052,"&gt;=" &amp; $G$6, DATA!$A$2:$A$1052,"&lt;=" &amp; $H$6)</f>
        <v>5754.6750000000002</v>
      </c>
      <c r="I27" s="60">
        <f>SUMIFS(ADVANCE!$C$2:$C$1172,ADVANCE!$A$2:$A$1172,B27,ADVANCE!$B$2:$B$1172,"&gt;=" &amp; $G$6, ADVANCE!$B$2:$B$1172,"&lt;=" &amp; $H$6)</f>
        <v>0</v>
      </c>
      <c r="J27" s="60">
        <f t="shared" si="1"/>
        <v>5754.6750000000002</v>
      </c>
      <c r="N27" s="14"/>
    </row>
    <row r="28" spans="1:22" ht="14.25" customHeight="1" x14ac:dyDescent="0.25">
      <c r="A28" s="13"/>
      <c r="B28" s="59">
        <v>14</v>
      </c>
      <c r="C28" s="171" t="str">
        <f>VLOOKUP(B28,MEMBERS_INFO!$A$2:$B$21,2, FALSE)</f>
        <v xml:space="preserve">చిట్టిబోయిన. మమత </v>
      </c>
      <c r="D28" s="171"/>
      <c r="E28" s="171"/>
      <c r="F28" s="60">
        <f>SUMIFS(DATA!$D$2:$D$1052,DATA!$B$2:$B$1052,B28,DATA!$A$2:$A$1052,"&gt;=" &amp; $G$6, DATA!$A$2:$A$1052,"&lt;=" &amp; $H$6)</f>
        <v>17</v>
      </c>
      <c r="G28" s="60">
        <f>SUMIFS(DATA!$F$2:$F$1052,DATA!$B$2:$B$1052,B28,DATA!$A$2:$A$1052,"&gt;=" &amp; $G$6, DATA!$A$2:$A$1052,"&lt;=" &amp; $H$6)</f>
        <v>1107.5250000000001</v>
      </c>
      <c r="I28" s="60">
        <f>SUMIFS(ADVANCE!$C$2:$C$1172,ADVANCE!$A$2:$A$1172,B28,ADVANCE!$B$2:$B$1172,"&gt;=" &amp; $G$6, ADVANCE!$B$2:$B$1172,"&lt;=" &amp; $H$6)</f>
        <v>0</v>
      </c>
      <c r="J28" s="60">
        <f t="shared" si="1"/>
        <v>1107.5250000000001</v>
      </c>
      <c r="N28" s="14"/>
    </row>
    <row r="29" spans="1:22" ht="14.25" customHeight="1" x14ac:dyDescent="0.25">
      <c r="A29" s="13"/>
      <c r="B29" s="59">
        <v>15</v>
      </c>
      <c r="C29" s="171" t="str">
        <f>VLOOKUP(B29,MEMBERS_INFO!$A$2:$B$21,2, FALSE)</f>
        <v>గిద్దలూరి. ప్రకాష్</v>
      </c>
      <c r="D29" s="171"/>
      <c r="E29" s="171"/>
      <c r="F29" s="60">
        <f>SUMIFS(DATA!$D$2:$D$1052,DATA!$B$2:$B$1052,B29,DATA!$A$2:$A$1052,"&gt;=" &amp; $G$6, DATA!$A$2:$A$1052,"&lt;=" &amp; $H$6)</f>
        <v>160.89999999999998</v>
      </c>
      <c r="G29" s="60">
        <f>SUMIFS(DATA!$F$2:$F$1052,DATA!$B$2:$B$1052,B29,DATA!$A$2:$A$1052,"&gt;=" &amp; $G$6, DATA!$A$2:$A$1052,"&lt;=" &amp; $H$6)</f>
        <v>8701.9500000000007</v>
      </c>
      <c r="I29" s="60">
        <f>SUMIFS(ADVANCE!$C$2:$C$1172,ADVANCE!$A$2:$A$1172,B29,ADVANCE!$B$2:$B$1172,"&gt;=" &amp; $G$6, ADVANCE!$B$2:$B$1172,"&lt;=" &amp; $H$6)</f>
        <v>0</v>
      </c>
      <c r="J29" s="60">
        <f t="shared" si="1"/>
        <v>8701.9500000000007</v>
      </c>
      <c r="N29" s="14"/>
    </row>
    <row r="30" spans="1:22" ht="14.25" customHeight="1" x14ac:dyDescent="0.25">
      <c r="A30" s="13"/>
      <c r="B30" s="59">
        <v>16</v>
      </c>
      <c r="C30" s="172" t="str">
        <f>VLOOKUP(B30,MEMBERS_INFO!$A$2:$B$21,2, FALSE)</f>
        <v>కూనిశెట్టి. కళాధరరావు</v>
      </c>
      <c r="D30" s="173"/>
      <c r="E30" s="173"/>
      <c r="F30" s="120">
        <f>SUMIFS(DATA!$D$2:$D$1052,DATA!$B$2:$B$1052,B30,DATA!$A$2:$A$1052,"&gt;=" &amp; $G$6, DATA!$A$2:$A$1052,"&lt;=" &amp; $H$6)</f>
        <v>76.5</v>
      </c>
      <c r="G30" s="120">
        <f>SUMIFS(DATA!$F$2:$F$1052,DATA!$B$2:$B$1052,B30,DATA!$A$2:$A$1052,"&gt;=" &amp; $G$6, DATA!$A$2:$A$1052,"&lt;=" &amp; $H$6)</f>
        <v>3890.8500000000008</v>
      </c>
      <c r="I30" s="60">
        <f>SUMIFS(ADVANCE!$C$2:$C$1172,ADVANCE!$A$2:$A$1172,B30,ADVANCE!$B$2:$B$1172,"&gt;=" &amp; $G$6, ADVANCE!$B$2:$B$1172,"&lt;=" &amp; $H$6)</f>
        <v>0</v>
      </c>
      <c r="J30" s="60">
        <f t="shared" si="1"/>
        <v>3890.8500000000008</v>
      </c>
      <c r="N30" s="14"/>
      <c r="U30" s="112"/>
    </row>
    <row r="31" spans="1:22" ht="14.25" customHeight="1" x14ac:dyDescent="0.25">
      <c r="A31" s="13"/>
      <c r="B31" s="59">
        <v>17</v>
      </c>
      <c r="C31" s="172" t="str">
        <f>VLOOKUP(B31,MEMBERS_INFO!$A$2:$B$21,2, FALSE)</f>
        <v>వడ్లమాని. బుజ్జయ్య</v>
      </c>
      <c r="D31" s="173"/>
      <c r="E31" s="173"/>
      <c r="F31" s="120">
        <f>SUMIFS(DATA!$D$2:$D$1052,DATA!$B$2:$B$1052,B31,DATA!$A$2:$A$1052,"&gt;=" &amp; $G$6, DATA!$A$2:$A$1052,"&lt;=" &amp; $H$6)</f>
        <v>260.09999999999997</v>
      </c>
      <c r="G31" s="120">
        <f>SUMIFS(DATA!$F$2:$F$1052,DATA!$B$2:$B$1052,B31,DATA!$A$2:$A$1052,"&gt;=" &amp; $G$6, DATA!$A$2:$A$1052,"&lt;=" &amp; $H$6)</f>
        <v>12030.150000000001</v>
      </c>
      <c r="I31" s="60">
        <f>SUMIFS(ADVANCE!$C$2:$C$1172,ADVANCE!$A$2:$A$1172,B31,ADVANCE!$B$2:$B$1172,"&gt;=" &amp; $G$6, ADVANCE!$B$2:$B$1172,"&lt;=" &amp; $H$6)</f>
        <v>0</v>
      </c>
      <c r="J31" s="60">
        <f t="shared" ref="J31" si="2">G31-I31</f>
        <v>12030.150000000001</v>
      </c>
      <c r="N31" s="14"/>
      <c r="U31" s="112"/>
    </row>
    <row r="32" spans="1:22" x14ac:dyDescent="0.25">
      <c r="A32" s="13"/>
      <c r="E32" s="118" t="s">
        <v>50</v>
      </c>
      <c r="F32" s="110">
        <f>SUM(F15:F31)</f>
        <v>2289.6999999999998</v>
      </c>
      <c r="G32" s="119">
        <f>SUM(G15:G31)</f>
        <v>120873.52499999999</v>
      </c>
      <c r="I32" s="77">
        <f>SUM(I15:I31)</f>
        <v>1996</v>
      </c>
      <c r="J32" s="77">
        <f>SUM(J15:J31)</f>
        <v>118877.52499999999</v>
      </c>
      <c r="K32" s="112"/>
      <c r="N32" s="14"/>
      <c r="U32" s="112"/>
    </row>
    <row r="33" spans="1:14" x14ac:dyDescent="0.25">
      <c r="A33" s="13"/>
      <c r="E33" s="61" t="s">
        <v>53</v>
      </c>
      <c r="F33" s="62">
        <f>SUMIFS(LOCAL_SALE!$C$2:$C$965,LOCAL_SALE!$A$2:$A$965,"&gt;=" &amp; $G$6, LOCAL_SALE!$A$2:$A$965,"&lt;=" &amp; $H$6)</f>
        <v>69.7</v>
      </c>
      <c r="G33" s="78">
        <f>F33*70</f>
        <v>4879</v>
      </c>
      <c r="N33" s="14"/>
    </row>
    <row r="34" spans="1:14" x14ac:dyDescent="0.25">
      <c r="A34" s="13"/>
      <c r="E34" s="187" t="s">
        <v>52</v>
      </c>
      <c r="F34" s="187"/>
      <c r="G34" s="66">
        <v>0</v>
      </c>
      <c r="N34" s="14"/>
    </row>
    <row r="35" spans="1:14" x14ac:dyDescent="0.25">
      <c r="A35" s="13"/>
      <c r="N35" s="14"/>
    </row>
    <row r="36" spans="1:14" ht="15.75" x14ac:dyDescent="0.25">
      <c r="A36" s="13"/>
      <c r="E36" s="187" t="s">
        <v>51</v>
      </c>
      <c r="F36" s="187"/>
      <c r="G36" s="79">
        <f>G32 - (G33+G34)</f>
        <v>115994.52499999999</v>
      </c>
      <c r="N36" s="14"/>
    </row>
    <row r="37" spans="1:14" x14ac:dyDescent="0.25">
      <c r="A37" s="13"/>
      <c r="N37" s="14"/>
    </row>
    <row r="38" spans="1:14" x14ac:dyDescent="0.25">
      <c r="A38" s="13"/>
      <c r="N38" s="14"/>
    </row>
    <row r="39" spans="1:14" x14ac:dyDescent="0.25">
      <c r="A39" s="16"/>
      <c r="B39" s="17"/>
      <c r="C39" s="17"/>
      <c r="D39" s="17"/>
      <c r="E39" s="17"/>
      <c r="F39" s="17"/>
      <c r="G39" s="17"/>
      <c r="H39" s="17"/>
      <c r="I39" s="17"/>
      <c r="J39" s="17"/>
      <c r="K39" s="17"/>
      <c r="L39" s="17"/>
      <c r="M39" s="17"/>
      <c r="N39" s="18"/>
    </row>
  </sheetData>
  <mergeCells count="23">
    <mergeCell ref="E36:F36"/>
    <mergeCell ref="E34:F34"/>
    <mergeCell ref="C30:E30"/>
    <mergeCell ref="C22:E22"/>
    <mergeCell ref="C23:E23"/>
    <mergeCell ref="C24:E24"/>
    <mergeCell ref="C25:E25"/>
    <mergeCell ref="C27:E27"/>
    <mergeCell ref="C29:E29"/>
    <mergeCell ref="C26:E26"/>
    <mergeCell ref="C28:E28"/>
    <mergeCell ref="C31:E31"/>
    <mergeCell ref="A1:N3"/>
    <mergeCell ref="A4:N4"/>
    <mergeCell ref="L5:N5"/>
    <mergeCell ref="C15:E15"/>
    <mergeCell ref="C16:E16"/>
    <mergeCell ref="C14:E14"/>
    <mergeCell ref="C17:E17"/>
    <mergeCell ref="C18:E18"/>
    <mergeCell ref="C19:E19"/>
    <mergeCell ref="C20:E20"/>
    <mergeCell ref="C21:E21"/>
  </mergeCells>
  <conditionalFormatting sqref="Q4:R19">
    <cfRule type="cellIs" dxfId="0" priority="1" operator="greaterThan">
      <formula>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_InputForm">
                <anchor>
                  <from>
                    <xdr:col>0</xdr:col>
                    <xdr:colOff>209550</xdr:colOff>
                    <xdr:row>8</xdr:row>
                    <xdr:rowOff>47625</xdr:rowOff>
                  </from>
                  <to>
                    <xdr:col>2</xdr:col>
                    <xdr:colOff>295275</xdr:colOff>
                    <xdr:row>10</xdr:row>
                    <xdr:rowOff>123825</xdr:rowOff>
                  </to>
                </anchor>
              </controlPr>
            </control>
          </mc:Choice>
        </mc:AlternateContent>
        <mc:AlternateContent xmlns:mc="http://schemas.openxmlformats.org/markup-compatibility/2006">
          <mc:Choice Requires="x14">
            <control shapeId="1027" r:id="rId5" name="Button 3">
              <controlPr defaultSize="0" print="0" autoFill="0" autoPict="0" macro="[0]!Run_ReportForm">
                <anchor>
                  <from>
                    <xdr:col>2</xdr:col>
                    <xdr:colOff>533400</xdr:colOff>
                    <xdr:row>8</xdr:row>
                    <xdr:rowOff>47625</xdr:rowOff>
                  </from>
                  <to>
                    <xdr:col>4</xdr:col>
                    <xdr:colOff>571500</xdr:colOff>
                    <xdr:row>10</xdr:row>
                    <xdr:rowOff>123825</xdr:rowOff>
                  </to>
                </anchor>
              </controlPr>
            </control>
          </mc:Choice>
        </mc:AlternateContent>
        <mc:AlternateContent xmlns:mc="http://schemas.openxmlformats.org/markup-compatibility/2006">
          <mc:Choice Requires="x14">
            <control shapeId="1028" r:id="rId6" name="Button 4">
              <controlPr defaultSize="0" print="0" autoFill="0" autoPict="0" macro="[0]!Run_AdvanceForm">
                <anchor>
                  <from>
                    <xdr:col>4</xdr:col>
                    <xdr:colOff>828675</xdr:colOff>
                    <xdr:row>8</xdr:row>
                    <xdr:rowOff>47625</xdr:rowOff>
                  </from>
                  <to>
                    <xdr:col>7</xdr:col>
                    <xdr:colOff>352425</xdr:colOff>
                    <xdr:row>10</xdr:row>
                    <xdr:rowOff>123825</xdr:rowOff>
                  </to>
                </anchor>
              </controlPr>
            </control>
          </mc:Choice>
        </mc:AlternateContent>
        <mc:AlternateContent xmlns:mc="http://schemas.openxmlformats.org/markup-compatibility/2006">
          <mc:Choice Requires="x14">
            <control shapeId="1029" r:id="rId7" name="Button 5">
              <controlPr defaultSize="0" print="0" autoFill="0" autoPict="0" macro="[0]!SaveWorkbookAsBackup">
                <anchor>
                  <from>
                    <xdr:col>7</xdr:col>
                    <xdr:colOff>638175</xdr:colOff>
                    <xdr:row>8</xdr:row>
                    <xdr:rowOff>47625</xdr:rowOff>
                  </from>
                  <to>
                    <xdr:col>9</xdr:col>
                    <xdr:colOff>704850</xdr:colOff>
                    <xdr:row>10</xdr:row>
                    <xdr:rowOff>123825</xdr:rowOff>
                  </to>
                </anchor>
              </controlPr>
            </control>
          </mc:Choice>
        </mc:AlternateContent>
        <mc:AlternateContent xmlns:mc="http://schemas.openxmlformats.org/markup-compatibility/2006">
          <mc:Choice Requires="x14">
            <control shapeId="1031" r:id="rId8" name="Button 7">
              <controlPr defaultSize="0" print="0" autoFill="0" autoPict="0" macro="[0]!DeleteRowsFromThirdToBottom">
                <anchor>
                  <from>
                    <xdr:col>10</xdr:col>
                    <xdr:colOff>257175</xdr:colOff>
                    <xdr:row>6</xdr:row>
                    <xdr:rowOff>133350</xdr:rowOff>
                  </from>
                  <to>
                    <xdr:col>13</xdr:col>
                    <xdr:colOff>200025</xdr:colOff>
                    <xdr:row>9</xdr:row>
                    <xdr:rowOff>19050</xdr:rowOff>
                  </to>
                </anchor>
              </controlPr>
            </control>
          </mc:Choice>
        </mc:AlternateContent>
        <mc:AlternateContent xmlns:mc="http://schemas.openxmlformats.org/markup-compatibility/2006">
          <mc:Choice Requires="x14">
            <control shapeId="1032" r:id="rId9" name="Button 8">
              <controlPr defaultSize="0" print="0" autoFill="0" autoPict="0" macro="[0]!ClearLocalSaleSheet">
                <anchor>
                  <from>
                    <xdr:col>10</xdr:col>
                    <xdr:colOff>247650</xdr:colOff>
                    <xdr:row>9</xdr:row>
                    <xdr:rowOff>142875</xdr:rowOff>
                  </from>
                  <to>
                    <xdr:col>13</xdr:col>
                    <xdr:colOff>190500</xdr:colOff>
                    <xdr:row>12</xdr:row>
                    <xdr:rowOff>28575</xdr:rowOff>
                  </to>
                </anchor>
              </controlPr>
            </control>
          </mc:Choice>
        </mc:AlternateContent>
        <mc:AlternateContent xmlns:mc="http://schemas.openxmlformats.org/markup-compatibility/2006">
          <mc:Choice Requires="x14">
            <control shapeId="1033" r:id="rId10" name="Button 9">
              <controlPr defaultSize="0" print="0" autoFill="0" autoPict="0" macro="[0]!FindMissingSessions">
                <anchor moveWithCells="1" sizeWithCells="1">
                  <from>
                    <xdr:col>10</xdr:col>
                    <xdr:colOff>257175</xdr:colOff>
                    <xdr:row>13</xdr:row>
                    <xdr:rowOff>28575</xdr:rowOff>
                  </from>
                  <to>
                    <xdr:col>13</xdr:col>
                    <xdr:colOff>200025</xdr:colOff>
                    <xdr:row>15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80A4C-F220-472A-A6AB-A1602A6C9C43}">
  <sheetPr codeName="Sheet2"/>
  <dimension ref="A1:F860"/>
  <sheetViews>
    <sheetView showGridLines="0" workbookViewId="0">
      <pane ySplit="1" topLeftCell="A827" activePane="bottomLeft" state="frozen"/>
      <selection pane="bottomLeft" activeCell="A15" sqref="A15:F857"/>
    </sheetView>
  </sheetViews>
  <sheetFormatPr defaultRowHeight="15" x14ac:dyDescent="0.25"/>
  <cols>
    <col min="1" max="1" width="11.5703125" bestFit="1" customWidth="1"/>
    <col min="2" max="2" width="7.7109375" style="26" bestFit="1" customWidth="1"/>
    <col min="3" max="3" width="13.7109375" bestFit="1" customWidth="1"/>
    <col min="4" max="4" width="9" bestFit="1" customWidth="1"/>
    <col min="5" max="5" width="8.7109375" bestFit="1" customWidth="1"/>
    <col min="6" max="6" width="13.140625" bestFit="1" customWidth="1"/>
  </cols>
  <sheetData>
    <row r="1" spans="1:6" s="25" customFormat="1" ht="19.5" customHeight="1" x14ac:dyDescent="0.2">
      <c r="A1" s="86" t="s">
        <v>23</v>
      </c>
      <c r="B1" s="87" t="s">
        <v>38</v>
      </c>
      <c r="C1" s="87" t="s">
        <v>26</v>
      </c>
      <c r="D1" s="87" t="s">
        <v>24</v>
      </c>
      <c r="E1" s="87" t="s">
        <v>16</v>
      </c>
      <c r="F1" s="88" t="s">
        <v>25</v>
      </c>
    </row>
    <row r="2" spans="1:6" x14ac:dyDescent="0.25">
      <c r="A2" s="29">
        <v>45689</v>
      </c>
      <c r="B2" s="52">
        <v>6</v>
      </c>
      <c r="C2" s="23" t="s">
        <v>37</v>
      </c>
      <c r="D2" s="24">
        <v>6.4</v>
      </c>
      <c r="E2" s="24">
        <v>7.6</v>
      </c>
      <c r="F2" s="42">
        <f>IFERROR(VLOOKUP(E2, Table2[],2, FALSE)*D2, "")</f>
        <v>364.8</v>
      </c>
    </row>
    <row r="3" spans="1:6" x14ac:dyDescent="0.25">
      <c r="A3" s="155">
        <v>45962</v>
      </c>
      <c r="B3" s="156">
        <v>8</v>
      </c>
      <c r="C3" s="129" t="s">
        <v>37</v>
      </c>
      <c r="D3" s="130">
        <v>4.9000000000000004</v>
      </c>
      <c r="E3" s="130">
        <v>7</v>
      </c>
      <c r="F3" s="42">
        <f>IFERROR(VLOOKUP(E3, Table2[],2, FALSE)*D3, "")</f>
        <v>257.25</v>
      </c>
    </row>
    <row r="4" spans="1:6" x14ac:dyDescent="0.25">
      <c r="A4" s="155">
        <v>45962</v>
      </c>
      <c r="B4" s="156">
        <v>6</v>
      </c>
      <c r="C4" s="129" t="s">
        <v>37</v>
      </c>
      <c r="D4" s="130">
        <v>13.4</v>
      </c>
      <c r="E4" s="130">
        <v>7.4</v>
      </c>
      <c r="F4" s="42">
        <f>IFERROR(VLOOKUP(E4, Table2[],2, FALSE)*D4, "")</f>
        <v>743.7</v>
      </c>
    </row>
    <row r="5" spans="1:6" x14ac:dyDescent="0.25">
      <c r="A5" s="155">
        <v>45962</v>
      </c>
      <c r="B5" s="156">
        <v>9</v>
      </c>
      <c r="C5" s="129" t="s">
        <v>37</v>
      </c>
      <c r="D5" s="130">
        <v>1</v>
      </c>
      <c r="E5" s="130">
        <v>9.5</v>
      </c>
      <c r="F5" s="42">
        <f>IFERROR(VLOOKUP(E5, Table2[],2, FALSE)*D5, "")</f>
        <v>71.25</v>
      </c>
    </row>
    <row r="6" spans="1:6" x14ac:dyDescent="0.25">
      <c r="A6" s="155">
        <v>45962</v>
      </c>
      <c r="B6" s="156">
        <v>16</v>
      </c>
      <c r="C6" s="129" t="s">
        <v>37</v>
      </c>
      <c r="D6" s="130">
        <v>4.4000000000000004</v>
      </c>
      <c r="E6" s="130">
        <v>8.1999999999999993</v>
      </c>
      <c r="F6" s="42">
        <f>IFERROR(VLOOKUP(E6, Table2[],2, FALSE)*D6, "")</f>
        <v>270.60000000000002</v>
      </c>
    </row>
    <row r="7" spans="1:6" x14ac:dyDescent="0.25">
      <c r="A7" s="155">
        <v>45962</v>
      </c>
      <c r="B7" s="156">
        <v>5</v>
      </c>
      <c r="C7" s="129" t="s">
        <v>37</v>
      </c>
      <c r="D7" s="130">
        <v>2.5</v>
      </c>
      <c r="E7" s="130">
        <v>10</v>
      </c>
      <c r="F7" s="42">
        <f>IFERROR(VLOOKUP(E7, Table2[],2, FALSE)*D7, "")</f>
        <v>187.5</v>
      </c>
    </row>
    <row r="8" spans="1:6" x14ac:dyDescent="0.25">
      <c r="A8" s="155">
        <v>45962</v>
      </c>
      <c r="B8" s="156">
        <v>15</v>
      </c>
      <c r="C8" s="129" t="s">
        <v>37</v>
      </c>
      <c r="D8" s="130">
        <v>13.5</v>
      </c>
      <c r="E8" s="130">
        <v>7.1</v>
      </c>
      <c r="F8" s="42">
        <f>IFERROR(VLOOKUP(E8, Table2[],2, FALSE)*D8, "")</f>
        <v>718.875</v>
      </c>
    </row>
    <row r="9" spans="1:6" x14ac:dyDescent="0.25">
      <c r="A9" s="155">
        <v>45962</v>
      </c>
      <c r="B9" s="156">
        <v>13</v>
      </c>
      <c r="C9" s="129" t="s">
        <v>37</v>
      </c>
      <c r="D9" s="130">
        <v>4.9000000000000004</v>
      </c>
      <c r="E9" s="130">
        <v>8.9</v>
      </c>
      <c r="F9" s="42">
        <f>IFERROR(VLOOKUP(E9, Table2[],2, FALSE)*D9, "")</f>
        <v>327.07500000000005</v>
      </c>
    </row>
    <row r="10" spans="1:6" x14ac:dyDescent="0.25">
      <c r="A10" s="155">
        <v>45962</v>
      </c>
      <c r="B10" s="156">
        <v>14</v>
      </c>
      <c r="C10" s="129" t="s">
        <v>37</v>
      </c>
      <c r="D10" s="130">
        <v>1.5</v>
      </c>
      <c r="E10" s="130">
        <v>8.6999999999999993</v>
      </c>
      <c r="F10" s="42">
        <f>IFERROR(VLOOKUP(E10, Table2[],2, FALSE)*D10, "")</f>
        <v>97.875</v>
      </c>
    </row>
    <row r="11" spans="1:6" x14ac:dyDescent="0.25">
      <c r="A11" s="155">
        <v>45962</v>
      </c>
      <c r="B11" s="156">
        <v>7</v>
      </c>
      <c r="C11" s="129" t="s">
        <v>37</v>
      </c>
      <c r="D11" s="130">
        <v>1.5</v>
      </c>
      <c r="E11" s="130">
        <v>7</v>
      </c>
      <c r="F11" s="42">
        <f>IFERROR(VLOOKUP(E11, Table2[],2, FALSE)*D11, "")</f>
        <v>78.75</v>
      </c>
    </row>
    <row r="12" spans="1:6" x14ac:dyDescent="0.25">
      <c r="A12" s="155">
        <v>45962</v>
      </c>
      <c r="B12" s="156">
        <v>3</v>
      </c>
      <c r="C12" s="129" t="s">
        <v>37</v>
      </c>
      <c r="D12" s="130">
        <v>5.9</v>
      </c>
      <c r="E12" s="130">
        <v>7.2</v>
      </c>
      <c r="F12" s="42">
        <f>IFERROR(VLOOKUP(E12, Table2[],2, FALSE)*D12, "")</f>
        <v>318.60000000000002</v>
      </c>
    </row>
    <row r="13" spans="1:6" x14ac:dyDescent="0.25">
      <c r="A13" s="155">
        <v>45962</v>
      </c>
      <c r="B13" s="156">
        <v>1</v>
      </c>
      <c r="C13" s="129" t="s">
        <v>37</v>
      </c>
      <c r="D13" s="130">
        <v>8.6999999999999993</v>
      </c>
      <c r="E13" s="130">
        <v>7.9</v>
      </c>
      <c r="F13" s="42">
        <f>IFERROR(VLOOKUP(E13, Table2[],2, FALSE)*D13, "")</f>
        <v>515.47499999999991</v>
      </c>
    </row>
    <row r="14" spans="1:6" x14ac:dyDescent="0.25">
      <c r="A14" s="155">
        <v>45962</v>
      </c>
      <c r="B14" s="156">
        <v>2</v>
      </c>
      <c r="C14" s="129" t="s">
        <v>37</v>
      </c>
      <c r="D14" s="130">
        <v>2</v>
      </c>
      <c r="E14" s="130">
        <v>10</v>
      </c>
      <c r="F14" s="42">
        <f>IFERROR(VLOOKUP(E14, Table2[],2, FALSE)*D14, "")</f>
        <v>150</v>
      </c>
    </row>
    <row r="15" spans="1:6" x14ac:dyDescent="0.25">
      <c r="A15" s="155">
        <v>45962</v>
      </c>
      <c r="B15" s="156">
        <v>17</v>
      </c>
      <c r="C15" s="129" t="s">
        <v>37</v>
      </c>
      <c r="D15" s="130">
        <v>10</v>
      </c>
      <c r="E15" s="130">
        <v>6.8</v>
      </c>
      <c r="F15" s="42">
        <f>IFERROR(VLOOKUP(E15, Table2[],2, FALSE)*D15, "")</f>
        <v>510</v>
      </c>
    </row>
    <row r="16" spans="1:6" x14ac:dyDescent="0.25">
      <c r="A16" s="155">
        <v>45962</v>
      </c>
      <c r="B16" s="156">
        <v>12</v>
      </c>
      <c r="C16" s="129" t="s">
        <v>37</v>
      </c>
      <c r="D16" s="130">
        <v>1.9</v>
      </c>
      <c r="E16" s="130">
        <v>8.4</v>
      </c>
      <c r="F16" s="42">
        <f>IFERROR(VLOOKUP(E16, Table2[],2, FALSE)*D16, "")</f>
        <v>119.69999999999999</v>
      </c>
    </row>
    <row r="17" spans="1:6" x14ac:dyDescent="0.25">
      <c r="A17" s="155">
        <v>45962</v>
      </c>
      <c r="B17" s="156">
        <v>4</v>
      </c>
      <c r="C17" s="129" t="s">
        <v>37</v>
      </c>
      <c r="D17" s="130">
        <v>14.8</v>
      </c>
      <c r="E17" s="130">
        <v>6.8</v>
      </c>
      <c r="F17" s="42">
        <f>IFERROR(VLOOKUP(E17, Table2[],2, FALSE)*D17, "")</f>
        <v>754.80000000000007</v>
      </c>
    </row>
    <row r="18" spans="1:6" x14ac:dyDescent="0.25">
      <c r="A18" s="155">
        <v>45962</v>
      </c>
      <c r="B18" s="156">
        <v>10</v>
      </c>
      <c r="C18" s="129" t="s">
        <v>37</v>
      </c>
      <c r="D18" s="130">
        <v>6.4</v>
      </c>
      <c r="E18" s="130">
        <v>8.1999999999999993</v>
      </c>
      <c r="F18" s="42">
        <f>IFERROR(VLOOKUP(E18, Table2[],2, FALSE)*D18, "")</f>
        <v>393.6</v>
      </c>
    </row>
    <row r="19" spans="1:6" x14ac:dyDescent="0.25">
      <c r="A19" s="155">
        <v>45962</v>
      </c>
      <c r="B19" s="156">
        <v>11</v>
      </c>
      <c r="C19" s="129" t="s">
        <v>37</v>
      </c>
      <c r="D19" s="130">
        <v>1.6</v>
      </c>
      <c r="E19" s="130">
        <v>9.6</v>
      </c>
      <c r="F19" s="42">
        <f>IFERROR(VLOOKUP(E19, Table2[],2, FALSE)*D19, "")</f>
        <v>115.2</v>
      </c>
    </row>
    <row r="20" spans="1:6" x14ac:dyDescent="0.25">
      <c r="A20" s="155">
        <v>45963</v>
      </c>
      <c r="B20" s="156">
        <v>7</v>
      </c>
      <c r="C20" s="129" t="s">
        <v>37</v>
      </c>
      <c r="D20" s="130">
        <v>2.4</v>
      </c>
      <c r="E20" s="130">
        <v>7.7</v>
      </c>
      <c r="F20" s="42">
        <f>IFERROR(VLOOKUP(E20, Table2[],2, FALSE)*D20, "")</f>
        <v>138.6</v>
      </c>
    </row>
    <row r="21" spans="1:6" x14ac:dyDescent="0.25">
      <c r="A21" s="155">
        <v>45963</v>
      </c>
      <c r="B21" s="156">
        <v>6</v>
      </c>
      <c r="C21" s="129" t="s">
        <v>37</v>
      </c>
      <c r="D21" s="130">
        <v>12.4</v>
      </c>
      <c r="E21" s="130">
        <v>7.5</v>
      </c>
      <c r="F21" s="42">
        <f>IFERROR(VLOOKUP(E21, Table2[],2, FALSE)*D21, "")</f>
        <v>697.5</v>
      </c>
    </row>
    <row r="22" spans="1:6" x14ac:dyDescent="0.25">
      <c r="A22" s="155">
        <v>45963</v>
      </c>
      <c r="B22" s="156">
        <v>8</v>
      </c>
      <c r="C22" s="129" t="s">
        <v>37</v>
      </c>
      <c r="D22" s="130">
        <v>3.7</v>
      </c>
      <c r="E22" s="130">
        <v>6</v>
      </c>
      <c r="F22" s="42">
        <f>IFERROR(VLOOKUP(E22, Table2[],2, FALSE)*D22, "")</f>
        <v>166.5</v>
      </c>
    </row>
    <row r="23" spans="1:6" x14ac:dyDescent="0.25">
      <c r="A23" s="155">
        <v>45963</v>
      </c>
      <c r="B23" s="156">
        <v>16</v>
      </c>
      <c r="C23" s="129" t="s">
        <v>37</v>
      </c>
      <c r="D23" s="130">
        <v>4.5999999999999996</v>
      </c>
      <c r="E23" s="130">
        <v>8.1</v>
      </c>
      <c r="F23" s="42">
        <f>IFERROR(VLOOKUP(E23, Table2[],2, FALSE)*D23, "")</f>
        <v>279.45</v>
      </c>
    </row>
    <row r="24" spans="1:6" x14ac:dyDescent="0.25">
      <c r="A24" s="155">
        <v>45963</v>
      </c>
      <c r="B24" s="156">
        <v>1</v>
      </c>
      <c r="C24" s="129" t="s">
        <v>37</v>
      </c>
      <c r="D24" s="130">
        <v>7.9</v>
      </c>
      <c r="E24" s="130">
        <v>8.3000000000000007</v>
      </c>
      <c r="F24" s="42">
        <f>IFERROR(VLOOKUP(E24, Table2[],2, FALSE)*D24, "")</f>
        <v>491.77500000000003</v>
      </c>
    </row>
    <row r="25" spans="1:6" x14ac:dyDescent="0.25">
      <c r="A25" s="155">
        <v>45963</v>
      </c>
      <c r="B25" s="156">
        <v>9</v>
      </c>
      <c r="C25" s="129" t="s">
        <v>37</v>
      </c>
      <c r="D25" s="130">
        <v>1.2</v>
      </c>
      <c r="E25" s="130">
        <v>7.9</v>
      </c>
      <c r="F25" s="42">
        <f>IFERROR(VLOOKUP(E25, Table2[],2, FALSE)*D25, "")</f>
        <v>71.099999999999994</v>
      </c>
    </row>
    <row r="26" spans="1:6" x14ac:dyDescent="0.25">
      <c r="A26" s="155">
        <v>45963</v>
      </c>
      <c r="B26" s="156">
        <v>13</v>
      </c>
      <c r="C26" s="129" t="s">
        <v>37</v>
      </c>
      <c r="D26" s="130">
        <v>4.9000000000000004</v>
      </c>
      <c r="E26" s="130">
        <v>8.9</v>
      </c>
      <c r="F26" s="42">
        <f>IFERROR(VLOOKUP(E26, Table2[],2, FALSE)*D26, "")</f>
        <v>327.07500000000005</v>
      </c>
    </row>
    <row r="27" spans="1:6" x14ac:dyDescent="0.25">
      <c r="A27" s="155">
        <v>45963</v>
      </c>
      <c r="B27" s="156">
        <v>4</v>
      </c>
      <c r="C27" s="129" t="s">
        <v>37</v>
      </c>
      <c r="D27" s="130">
        <v>16.3</v>
      </c>
      <c r="E27" s="130">
        <v>7</v>
      </c>
      <c r="F27" s="42">
        <f>IFERROR(VLOOKUP(E27, Table2[],2, FALSE)*D27, "")</f>
        <v>855.75</v>
      </c>
    </row>
    <row r="28" spans="1:6" x14ac:dyDescent="0.25">
      <c r="A28" s="155">
        <v>45963</v>
      </c>
      <c r="B28" s="156">
        <v>3</v>
      </c>
      <c r="C28" s="129" t="s">
        <v>37</v>
      </c>
      <c r="D28" s="130">
        <v>5.5</v>
      </c>
      <c r="E28" s="130">
        <v>6.8</v>
      </c>
      <c r="F28" s="42">
        <f>IFERROR(VLOOKUP(E28, Table2[],2, FALSE)*D28, "")</f>
        <v>280.5</v>
      </c>
    </row>
    <row r="29" spans="1:6" x14ac:dyDescent="0.25">
      <c r="A29" s="155">
        <v>45963</v>
      </c>
      <c r="B29" s="156">
        <v>17</v>
      </c>
      <c r="C29" s="129" t="s">
        <v>37</v>
      </c>
      <c r="D29" s="130">
        <v>12.5</v>
      </c>
      <c r="E29" s="130">
        <v>7.4</v>
      </c>
      <c r="F29" s="42">
        <f>IFERROR(VLOOKUP(E29, Table2[],2, FALSE)*D29, "")</f>
        <v>693.75</v>
      </c>
    </row>
    <row r="30" spans="1:6" x14ac:dyDescent="0.25">
      <c r="A30" s="155">
        <v>45963</v>
      </c>
      <c r="B30" s="156">
        <v>10</v>
      </c>
      <c r="C30" s="129" t="s">
        <v>37</v>
      </c>
      <c r="D30" s="130">
        <v>6.6</v>
      </c>
      <c r="E30" s="130">
        <v>8.4</v>
      </c>
      <c r="F30" s="42">
        <f>IFERROR(VLOOKUP(E30, Table2[],2, FALSE)*D30, "")</f>
        <v>415.79999999999995</v>
      </c>
    </row>
    <row r="31" spans="1:6" x14ac:dyDescent="0.25">
      <c r="A31" s="155">
        <v>45962</v>
      </c>
      <c r="B31" s="156">
        <v>11</v>
      </c>
      <c r="C31" s="129" t="s">
        <v>27</v>
      </c>
      <c r="D31" s="130">
        <v>2</v>
      </c>
      <c r="E31" s="130">
        <v>9.1</v>
      </c>
      <c r="F31" s="42">
        <f>IFERROR(VLOOKUP(E31, Table2[],2, FALSE)*D31, "")</f>
        <v>136.5</v>
      </c>
    </row>
    <row r="32" spans="1:6" x14ac:dyDescent="0.25">
      <c r="A32" s="155">
        <v>45964</v>
      </c>
      <c r="B32" s="156">
        <v>7</v>
      </c>
      <c r="C32" s="129" t="s">
        <v>37</v>
      </c>
      <c r="D32" s="130">
        <v>1.9</v>
      </c>
      <c r="E32" s="130">
        <v>7.3</v>
      </c>
      <c r="F32" s="42">
        <f>IFERROR(VLOOKUP(E32, Table2[],2, FALSE)*D32, "")</f>
        <v>104.02499999999999</v>
      </c>
    </row>
    <row r="33" spans="1:6" x14ac:dyDescent="0.25">
      <c r="A33" s="155">
        <v>45964</v>
      </c>
      <c r="B33" s="156">
        <v>16</v>
      </c>
      <c r="C33" s="129" t="s">
        <v>37</v>
      </c>
      <c r="D33" s="130">
        <v>7.2</v>
      </c>
      <c r="E33" s="130">
        <v>7</v>
      </c>
      <c r="F33" s="42">
        <f>IFERROR(VLOOKUP(E33, Table2[],2, FALSE)*D33, "")</f>
        <v>378</v>
      </c>
    </row>
    <row r="34" spans="1:6" x14ac:dyDescent="0.25">
      <c r="A34" s="155">
        <v>45964</v>
      </c>
      <c r="B34" s="156">
        <v>6</v>
      </c>
      <c r="C34" s="129" t="s">
        <v>37</v>
      </c>
      <c r="D34" s="130">
        <v>12.7</v>
      </c>
      <c r="E34" s="130">
        <v>7.3</v>
      </c>
      <c r="F34" s="42">
        <f>IFERROR(VLOOKUP(E34, Table2[],2, FALSE)*D34, "")</f>
        <v>695.32499999999993</v>
      </c>
    </row>
    <row r="35" spans="1:6" x14ac:dyDescent="0.25">
      <c r="A35" s="155">
        <v>45964</v>
      </c>
      <c r="B35" s="156">
        <v>13</v>
      </c>
      <c r="C35" s="129" t="s">
        <v>37</v>
      </c>
      <c r="D35" s="130">
        <v>4.5999999999999996</v>
      </c>
      <c r="E35" s="130">
        <v>7.8</v>
      </c>
      <c r="F35" s="42">
        <f>IFERROR(VLOOKUP(E35, Table2[],2, FALSE)*D35, "")</f>
        <v>269.09999999999997</v>
      </c>
    </row>
    <row r="36" spans="1:6" x14ac:dyDescent="0.25">
      <c r="A36" s="155">
        <v>45963</v>
      </c>
      <c r="B36" s="156">
        <v>14</v>
      </c>
      <c r="C36" s="129" t="s">
        <v>37</v>
      </c>
      <c r="D36" s="130">
        <v>1.4</v>
      </c>
      <c r="E36" s="130">
        <v>8.6999999999999993</v>
      </c>
      <c r="F36" s="42">
        <f>IFERROR(VLOOKUP(E36, Table2[],2, FALSE)*D36, "")</f>
        <v>91.35</v>
      </c>
    </row>
    <row r="37" spans="1:6" x14ac:dyDescent="0.25">
      <c r="A37" s="155">
        <v>45964</v>
      </c>
      <c r="B37" s="156">
        <v>1</v>
      </c>
      <c r="C37" s="129" t="s">
        <v>37</v>
      </c>
      <c r="D37" s="130">
        <v>8.6</v>
      </c>
      <c r="E37" s="130">
        <v>8.1</v>
      </c>
      <c r="F37" s="42">
        <f>IFERROR(VLOOKUP(E37, Table2[],2, FALSE)*D37, "")</f>
        <v>522.44999999999993</v>
      </c>
    </row>
    <row r="38" spans="1:6" x14ac:dyDescent="0.25">
      <c r="A38" s="155">
        <v>45964</v>
      </c>
      <c r="B38" s="156">
        <v>9</v>
      </c>
      <c r="C38" s="129" t="s">
        <v>37</v>
      </c>
      <c r="D38" s="130">
        <v>1</v>
      </c>
      <c r="E38" s="130">
        <v>8.1999999999999993</v>
      </c>
      <c r="F38" s="42">
        <f>IFERROR(VLOOKUP(E38, Table2[],2, FALSE)*D38, "")</f>
        <v>61.5</v>
      </c>
    </row>
    <row r="39" spans="1:6" x14ac:dyDescent="0.25">
      <c r="A39" s="155">
        <v>45963</v>
      </c>
      <c r="B39" s="156">
        <v>15</v>
      </c>
      <c r="C39" s="129" t="s">
        <v>37</v>
      </c>
      <c r="D39" s="130">
        <v>14</v>
      </c>
      <c r="E39" s="130">
        <v>7</v>
      </c>
      <c r="F39" s="42">
        <f>IFERROR(VLOOKUP(E39, Table2[],2, FALSE)*D39, "")</f>
        <v>735</v>
      </c>
    </row>
    <row r="40" spans="1:6" x14ac:dyDescent="0.25">
      <c r="A40" s="155">
        <v>45964</v>
      </c>
      <c r="B40" s="156">
        <v>3</v>
      </c>
      <c r="C40" s="129" t="s">
        <v>37</v>
      </c>
      <c r="D40" s="130">
        <v>6.2</v>
      </c>
      <c r="E40" s="130">
        <v>7.1</v>
      </c>
      <c r="F40" s="42">
        <f>IFERROR(VLOOKUP(E40, Table2[],2, FALSE)*D40, "")</f>
        <v>330.15000000000003</v>
      </c>
    </row>
    <row r="41" spans="1:6" x14ac:dyDescent="0.25">
      <c r="A41" s="155">
        <v>45963</v>
      </c>
      <c r="B41" s="156">
        <v>12</v>
      </c>
      <c r="C41" s="129" t="s">
        <v>37</v>
      </c>
      <c r="D41" s="130">
        <v>2.4</v>
      </c>
      <c r="E41" s="130">
        <v>8.4</v>
      </c>
      <c r="F41" s="42">
        <f>IFERROR(VLOOKUP(E41, Table2[],2, FALSE)*D41, "")</f>
        <v>151.19999999999999</v>
      </c>
    </row>
    <row r="42" spans="1:6" x14ac:dyDescent="0.25">
      <c r="A42" s="155">
        <v>45963</v>
      </c>
      <c r="B42" s="156">
        <v>5</v>
      </c>
      <c r="C42" s="129" t="s">
        <v>37</v>
      </c>
      <c r="D42" s="130">
        <v>0.7</v>
      </c>
      <c r="E42" s="130">
        <v>10</v>
      </c>
      <c r="F42" s="42">
        <f>IFERROR(VLOOKUP(E42, Table2[],2, FALSE)*D42, "")</f>
        <v>52.5</v>
      </c>
    </row>
    <row r="43" spans="1:6" x14ac:dyDescent="0.25">
      <c r="A43" s="155">
        <v>45964</v>
      </c>
      <c r="B43" s="156">
        <v>17</v>
      </c>
      <c r="C43" s="129" t="s">
        <v>37</v>
      </c>
      <c r="D43" s="130">
        <v>10.5</v>
      </c>
      <c r="E43" s="130">
        <v>6.5</v>
      </c>
      <c r="F43" s="42">
        <f>IFERROR(VLOOKUP(E43, Table2[],2, FALSE)*D43, "")</f>
        <v>511.875</v>
      </c>
    </row>
    <row r="44" spans="1:6" x14ac:dyDescent="0.25">
      <c r="A44" s="155">
        <v>45964</v>
      </c>
      <c r="B44" s="156">
        <v>10</v>
      </c>
      <c r="C44" s="129" t="s">
        <v>37</v>
      </c>
      <c r="D44" s="130">
        <v>5.4</v>
      </c>
      <c r="E44" s="130">
        <v>8.5</v>
      </c>
      <c r="F44" s="42">
        <f>IFERROR(VLOOKUP(E44, Table2[],2, FALSE)*D44, "")</f>
        <v>344.25</v>
      </c>
    </row>
    <row r="45" spans="1:6" x14ac:dyDescent="0.25">
      <c r="A45" s="155">
        <v>45964</v>
      </c>
      <c r="B45" s="156">
        <v>8</v>
      </c>
      <c r="C45" s="129" t="s">
        <v>37</v>
      </c>
      <c r="D45" s="130">
        <v>5.7</v>
      </c>
      <c r="E45" s="130">
        <v>6.5</v>
      </c>
      <c r="F45" s="42">
        <f>IFERROR(VLOOKUP(E45, Table2[],2, FALSE)*D45, "")</f>
        <v>277.875</v>
      </c>
    </row>
    <row r="46" spans="1:6" x14ac:dyDescent="0.25">
      <c r="A46" s="155">
        <v>45963</v>
      </c>
      <c r="B46" s="156">
        <v>2</v>
      </c>
      <c r="C46" s="129" t="s">
        <v>37</v>
      </c>
      <c r="D46" s="130">
        <v>2.6</v>
      </c>
      <c r="E46" s="130">
        <v>9.6</v>
      </c>
      <c r="F46" s="42">
        <f>IFERROR(VLOOKUP(E46, Table2[],2, FALSE)*D46, "")</f>
        <v>187.20000000000002</v>
      </c>
    </row>
    <row r="47" spans="1:6" x14ac:dyDescent="0.25">
      <c r="A47" s="155">
        <v>45964</v>
      </c>
      <c r="B47" s="156">
        <v>4</v>
      </c>
      <c r="C47" s="129" t="s">
        <v>37</v>
      </c>
      <c r="D47" s="130">
        <v>16.3</v>
      </c>
      <c r="E47" s="130">
        <v>6.8</v>
      </c>
      <c r="F47" s="42">
        <f>IFERROR(VLOOKUP(E47, Table2[],2, FALSE)*D47, "")</f>
        <v>831.30000000000007</v>
      </c>
    </row>
    <row r="48" spans="1:6" x14ac:dyDescent="0.25">
      <c r="A48" s="155">
        <v>45963</v>
      </c>
      <c r="B48" s="156">
        <v>11</v>
      </c>
      <c r="C48" s="129" t="s">
        <v>37</v>
      </c>
      <c r="D48" s="130">
        <v>1.6</v>
      </c>
      <c r="E48" s="130">
        <v>9</v>
      </c>
      <c r="F48" s="42">
        <f>IFERROR(VLOOKUP(E48, Table2[],2, FALSE)*D48, "")</f>
        <v>108</v>
      </c>
    </row>
    <row r="49" spans="1:6" x14ac:dyDescent="0.25">
      <c r="A49" s="155">
        <v>45964</v>
      </c>
      <c r="B49" s="156">
        <v>5</v>
      </c>
      <c r="C49" s="129" t="s">
        <v>37</v>
      </c>
      <c r="D49" s="130">
        <v>1.3</v>
      </c>
      <c r="E49" s="130">
        <v>10</v>
      </c>
      <c r="F49" s="42">
        <f>IFERROR(VLOOKUP(E49, Table2[],2, FALSE)*D49, "")</f>
        <v>97.5</v>
      </c>
    </row>
    <row r="50" spans="1:6" x14ac:dyDescent="0.25">
      <c r="A50" s="155">
        <v>45965</v>
      </c>
      <c r="B50" s="156">
        <v>13</v>
      </c>
      <c r="C50" s="129" t="s">
        <v>37</v>
      </c>
      <c r="D50" s="130">
        <v>5.4</v>
      </c>
      <c r="E50" s="130">
        <v>8.5</v>
      </c>
      <c r="F50" s="42">
        <f>IFERROR(VLOOKUP(E50, Table2[],2, FALSE)*D50, "")</f>
        <v>344.25</v>
      </c>
    </row>
    <row r="51" spans="1:6" x14ac:dyDescent="0.25">
      <c r="A51" s="155">
        <v>45965</v>
      </c>
      <c r="B51" s="156">
        <v>1</v>
      </c>
      <c r="C51" s="129" t="s">
        <v>37</v>
      </c>
      <c r="D51" s="130">
        <v>9.9</v>
      </c>
      <c r="E51" s="130">
        <v>8.6</v>
      </c>
      <c r="F51" s="42">
        <f>IFERROR(VLOOKUP(E51, Table2[],2, FALSE)*D51, "")</f>
        <v>638.55000000000007</v>
      </c>
    </row>
    <row r="52" spans="1:6" x14ac:dyDescent="0.25">
      <c r="A52" s="155">
        <v>45965</v>
      </c>
      <c r="B52" s="156">
        <v>8</v>
      </c>
      <c r="C52" s="129" t="s">
        <v>37</v>
      </c>
      <c r="D52" s="130">
        <v>6.1</v>
      </c>
      <c r="E52" s="130">
        <v>6.3</v>
      </c>
      <c r="F52" s="42">
        <f>IFERROR(VLOOKUP(E52, Table2[],2, FALSE)*D52, "")</f>
        <v>288.22499999999997</v>
      </c>
    </row>
    <row r="53" spans="1:6" x14ac:dyDescent="0.25">
      <c r="A53" s="155">
        <v>45965</v>
      </c>
      <c r="B53" s="156">
        <v>9</v>
      </c>
      <c r="C53" s="129" t="s">
        <v>37</v>
      </c>
      <c r="D53" s="130">
        <v>1.2</v>
      </c>
      <c r="E53" s="130">
        <v>7.7</v>
      </c>
      <c r="F53" s="42">
        <f>IFERROR(VLOOKUP(E53, Table2[],2, FALSE)*D53, "")</f>
        <v>69.3</v>
      </c>
    </row>
    <row r="54" spans="1:6" x14ac:dyDescent="0.25">
      <c r="A54" s="155">
        <v>45965</v>
      </c>
      <c r="B54" s="156">
        <v>6</v>
      </c>
      <c r="C54" s="129" t="s">
        <v>37</v>
      </c>
      <c r="D54" s="130">
        <v>12.3</v>
      </c>
      <c r="E54" s="130">
        <v>7.3</v>
      </c>
      <c r="F54" s="42">
        <f>IFERROR(VLOOKUP(E54, Table2[],2, FALSE)*D54, "")</f>
        <v>673.42500000000007</v>
      </c>
    </row>
    <row r="55" spans="1:6" x14ac:dyDescent="0.25">
      <c r="A55" s="155">
        <v>45965</v>
      </c>
      <c r="B55" s="156">
        <v>3</v>
      </c>
      <c r="C55" s="129" t="s">
        <v>37</v>
      </c>
      <c r="D55" s="130">
        <v>5.2</v>
      </c>
      <c r="E55" s="130">
        <v>7.1</v>
      </c>
      <c r="F55" s="42">
        <f>IFERROR(VLOOKUP(E55, Table2[],2, FALSE)*D55, "")</f>
        <v>276.90000000000003</v>
      </c>
    </row>
    <row r="56" spans="1:6" x14ac:dyDescent="0.25">
      <c r="A56" s="155">
        <v>45965</v>
      </c>
      <c r="B56" s="156">
        <v>7</v>
      </c>
      <c r="C56" s="129" t="s">
        <v>37</v>
      </c>
      <c r="D56" s="130">
        <v>1.9</v>
      </c>
      <c r="E56" s="130">
        <v>7</v>
      </c>
      <c r="F56" s="42">
        <f>IFERROR(VLOOKUP(E56, Table2[],2, FALSE)*D56, "")</f>
        <v>99.75</v>
      </c>
    </row>
    <row r="57" spans="1:6" x14ac:dyDescent="0.25">
      <c r="A57" s="155">
        <v>45965</v>
      </c>
      <c r="B57" s="156">
        <v>17</v>
      </c>
      <c r="C57" s="129" t="s">
        <v>37</v>
      </c>
      <c r="D57" s="130">
        <v>11.1</v>
      </c>
      <c r="E57" s="130">
        <v>6</v>
      </c>
      <c r="F57" s="42">
        <f>IFERROR(VLOOKUP(E57, Table2[],2, FALSE)*D57, "")</f>
        <v>499.5</v>
      </c>
    </row>
    <row r="58" spans="1:6" x14ac:dyDescent="0.25">
      <c r="A58" s="155">
        <v>45965</v>
      </c>
      <c r="B58" s="156">
        <v>4</v>
      </c>
      <c r="C58" s="129" t="s">
        <v>37</v>
      </c>
      <c r="D58" s="130">
        <v>16.2</v>
      </c>
      <c r="E58" s="130">
        <v>6.5</v>
      </c>
      <c r="F58" s="42">
        <f>IFERROR(VLOOKUP(E58, Table2[],2, FALSE)*D58, "")</f>
        <v>789.75</v>
      </c>
    </row>
    <row r="59" spans="1:6" x14ac:dyDescent="0.25">
      <c r="A59" s="155">
        <v>45965</v>
      </c>
      <c r="B59" s="156">
        <v>10</v>
      </c>
      <c r="C59" s="129" t="s">
        <v>37</v>
      </c>
      <c r="D59" s="130">
        <v>8.6</v>
      </c>
      <c r="E59" s="130">
        <v>8</v>
      </c>
      <c r="F59" s="42">
        <f>IFERROR(VLOOKUP(E59, Table2[],2, FALSE)*D59, "")</f>
        <v>516</v>
      </c>
    </row>
    <row r="60" spans="1:6" x14ac:dyDescent="0.25">
      <c r="A60" s="155">
        <v>45963</v>
      </c>
      <c r="B60" s="156">
        <v>11</v>
      </c>
      <c r="C60" s="129" t="s">
        <v>27</v>
      </c>
      <c r="D60" s="130">
        <v>2</v>
      </c>
      <c r="E60" s="130">
        <v>8.1999999999999993</v>
      </c>
      <c r="F60" s="42">
        <f>IFERROR(VLOOKUP(E60, Table2[],2, FALSE)*D60, "")</f>
        <v>123</v>
      </c>
    </row>
    <row r="61" spans="1:6" x14ac:dyDescent="0.25">
      <c r="A61" s="155">
        <v>45964</v>
      </c>
      <c r="B61" s="156">
        <v>12</v>
      </c>
      <c r="C61" s="129" t="s">
        <v>37</v>
      </c>
      <c r="D61" s="130">
        <v>2.1</v>
      </c>
      <c r="E61" s="130">
        <v>8.1</v>
      </c>
      <c r="F61" s="42">
        <f>IFERROR(VLOOKUP(E61, Table2[],2, FALSE)*D61, "")</f>
        <v>127.575</v>
      </c>
    </row>
    <row r="62" spans="1:6" x14ac:dyDescent="0.25">
      <c r="A62" s="155">
        <v>45966</v>
      </c>
      <c r="B62" s="156">
        <v>6</v>
      </c>
      <c r="C62" s="129" t="s">
        <v>37</v>
      </c>
      <c r="D62" s="130">
        <v>12.4</v>
      </c>
      <c r="E62" s="130">
        <v>7.2</v>
      </c>
      <c r="F62" s="42">
        <f>IFERROR(VLOOKUP(E62, Table2[],2, FALSE)*D62, "")</f>
        <v>669.6</v>
      </c>
    </row>
    <row r="63" spans="1:6" x14ac:dyDescent="0.25">
      <c r="A63" s="155">
        <v>45966</v>
      </c>
      <c r="B63" s="156">
        <v>8</v>
      </c>
      <c r="C63" s="129" t="s">
        <v>37</v>
      </c>
      <c r="D63" s="130">
        <v>5.8</v>
      </c>
      <c r="E63" s="130">
        <v>6</v>
      </c>
      <c r="F63" s="42">
        <f>IFERROR(VLOOKUP(E63, Table2[],2, FALSE)*D63, "")</f>
        <v>261</v>
      </c>
    </row>
    <row r="64" spans="1:6" x14ac:dyDescent="0.25">
      <c r="A64" s="155">
        <v>45965</v>
      </c>
      <c r="B64" s="156">
        <v>16</v>
      </c>
      <c r="C64" s="129" t="s">
        <v>37</v>
      </c>
      <c r="D64" s="130">
        <v>4.5</v>
      </c>
      <c r="E64" s="130">
        <v>8</v>
      </c>
      <c r="F64" s="42">
        <f>IFERROR(VLOOKUP(E64, Table2[],2, FALSE)*D64, "")</f>
        <v>270</v>
      </c>
    </row>
    <row r="65" spans="1:6" x14ac:dyDescent="0.25">
      <c r="A65" s="155">
        <v>45966</v>
      </c>
      <c r="B65" s="156">
        <v>9</v>
      </c>
      <c r="C65" s="129" t="s">
        <v>37</v>
      </c>
      <c r="D65" s="130">
        <v>1</v>
      </c>
      <c r="E65" s="130">
        <v>8.1</v>
      </c>
      <c r="F65" s="42">
        <f>IFERROR(VLOOKUP(E65, Table2[],2, FALSE)*D65, "")</f>
        <v>60.75</v>
      </c>
    </row>
    <row r="66" spans="1:6" x14ac:dyDescent="0.25">
      <c r="A66" s="155">
        <v>45966</v>
      </c>
      <c r="B66" s="156">
        <v>3</v>
      </c>
      <c r="C66" s="129" t="s">
        <v>37</v>
      </c>
      <c r="D66" s="130">
        <v>5</v>
      </c>
      <c r="E66" s="130">
        <v>7.1</v>
      </c>
      <c r="F66" s="42">
        <f>IFERROR(VLOOKUP(E66, Table2[],2, FALSE)*D66, "")</f>
        <v>266.25</v>
      </c>
    </row>
    <row r="67" spans="1:6" x14ac:dyDescent="0.25">
      <c r="A67" s="155">
        <v>45964</v>
      </c>
      <c r="B67" s="156">
        <v>15</v>
      </c>
      <c r="C67" s="129" t="s">
        <v>37</v>
      </c>
      <c r="D67" s="130">
        <v>14.2</v>
      </c>
      <c r="E67" s="130">
        <v>6.8</v>
      </c>
      <c r="F67" s="42">
        <f>IFERROR(VLOOKUP(E67, Table2[],2, FALSE)*D67, "")</f>
        <v>724.19999999999993</v>
      </c>
    </row>
    <row r="68" spans="1:6" x14ac:dyDescent="0.25">
      <c r="A68" s="155">
        <v>45966</v>
      </c>
      <c r="B68" s="156">
        <v>7</v>
      </c>
      <c r="C68" s="129" t="s">
        <v>37</v>
      </c>
      <c r="D68" s="130">
        <v>1.7</v>
      </c>
      <c r="E68" s="130">
        <v>7</v>
      </c>
      <c r="F68" s="42">
        <f>IFERROR(VLOOKUP(E68, Table2[],2, FALSE)*D68, "")</f>
        <v>89.25</v>
      </c>
    </row>
    <row r="69" spans="1:6" x14ac:dyDescent="0.25">
      <c r="A69" s="155">
        <v>45965</v>
      </c>
      <c r="B69" s="156">
        <v>5</v>
      </c>
      <c r="C69" s="129" t="s">
        <v>37</v>
      </c>
      <c r="D69" s="130">
        <v>2.2999999999999998</v>
      </c>
      <c r="E69" s="130">
        <v>10</v>
      </c>
      <c r="F69" s="42">
        <f>IFERROR(VLOOKUP(E69, Table2[],2, FALSE)*D69, "")</f>
        <v>172.5</v>
      </c>
    </row>
    <row r="70" spans="1:6" x14ac:dyDescent="0.25">
      <c r="A70" s="155">
        <v>45966</v>
      </c>
      <c r="B70" s="156">
        <v>17</v>
      </c>
      <c r="C70" s="129" t="s">
        <v>37</v>
      </c>
      <c r="D70" s="130">
        <v>14.1</v>
      </c>
      <c r="E70" s="130">
        <v>7</v>
      </c>
      <c r="F70" s="42">
        <f>IFERROR(VLOOKUP(E70, Table2[],2, FALSE)*D70, "")</f>
        <v>740.25</v>
      </c>
    </row>
    <row r="71" spans="1:6" x14ac:dyDescent="0.25">
      <c r="A71" s="155">
        <v>45964</v>
      </c>
      <c r="B71" s="156">
        <v>2</v>
      </c>
      <c r="C71" s="129" t="s">
        <v>37</v>
      </c>
      <c r="D71" s="130">
        <v>1.9</v>
      </c>
      <c r="E71" s="130">
        <v>10</v>
      </c>
      <c r="F71" s="42">
        <f>IFERROR(VLOOKUP(E71, Table2[],2, FALSE)*D71, "")</f>
        <v>142.5</v>
      </c>
    </row>
    <row r="72" spans="1:6" x14ac:dyDescent="0.25">
      <c r="A72" s="155">
        <v>45966</v>
      </c>
      <c r="B72" s="156">
        <v>13</v>
      </c>
      <c r="C72" s="129" t="s">
        <v>37</v>
      </c>
      <c r="D72" s="130">
        <v>5.2</v>
      </c>
      <c r="E72" s="130">
        <v>8.6</v>
      </c>
      <c r="F72" s="42">
        <f>IFERROR(VLOOKUP(E72, Table2[],2, FALSE)*D72, "")</f>
        <v>335.40000000000003</v>
      </c>
    </row>
    <row r="73" spans="1:6" x14ac:dyDescent="0.25">
      <c r="A73" s="155">
        <v>45964</v>
      </c>
      <c r="B73" s="156">
        <v>14</v>
      </c>
      <c r="C73" s="129" t="s">
        <v>37</v>
      </c>
      <c r="D73" s="130">
        <v>1.6</v>
      </c>
      <c r="E73" s="130">
        <v>8.3000000000000007</v>
      </c>
      <c r="F73" s="42">
        <f>IFERROR(VLOOKUP(E73, Table2[],2, FALSE)*D73, "")</f>
        <v>99.600000000000009</v>
      </c>
    </row>
    <row r="74" spans="1:6" x14ac:dyDescent="0.25">
      <c r="A74" s="155">
        <v>45966</v>
      </c>
      <c r="B74" s="156">
        <v>1</v>
      </c>
      <c r="C74" s="129" t="s">
        <v>37</v>
      </c>
      <c r="D74" s="130">
        <v>9</v>
      </c>
      <c r="E74" s="130">
        <v>8.1</v>
      </c>
      <c r="F74" s="42">
        <f>IFERROR(VLOOKUP(E74, Table2[],2, FALSE)*D74, "")</f>
        <v>546.75</v>
      </c>
    </row>
    <row r="75" spans="1:6" x14ac:dyDescent="0.25">
      <c r="A75" s="155">
        <v>45966</v>
      </c>
      <c r="B75" s="156">
        <v>10</v>
      </c>
      <c r="C75" s="129" t="s">
        <v>37</v>
      </c>
      <c r="D75" s="130">
        <v>6.8</v>
      </c>
      <c r="E75" s="130">
        <v>8</v>
      </c>
      <c r="F75" s="42">
        <f>IFERROR(VLOOKUP(E75, Table2[],2, FALSE)*D75, "")</f>
        <v>408</v>
      </c>
    </row>
    <row r="76" spans="1:6" x14ac:dyDescent="0.25">
      <c r="A76" s="155">
        <v>45966</v>
      </c>
      <c r="B76" s="156">
        <v>4</v>
      </c>
      <c r="C76" s="129" t="s">
        <v>37</v>
      </c>
      <c r="D76" s="130">
        <v>16.2</v>
      </c>
      <c r="E76" s="130">
        <v>6.8</v>
      </c>
      <c r="F76" s="42">
        <f>IFERROR(VLOOKUP(E76, Table2[],2, FALSE)*D76, "")</f>
        <v>826.19999999999993</v>
      </c>
    </row>
    <row r="77" spans="1:6" x14ac:dyDescent="0.25">
      <c r="A77" s="155">
        <v>45964</v>
      </c>
      <c r="B77" s="156">
        <v>11</v>
      </c>
      <c r="C77" s="129" t="s">
        <v>37</v>
      </c>
      <c r="D77" s="130">
        <v>1.6</v>
      </c>
      <c r="E77" s="130">
        <v>9.4</v>
      </c>
      <c r="F77" s="42">
        <f>IFERROR(VLOOKUP(E77, Table2[],2, FALSE)*D77, "")</f>
        <v>112.80000000000001</v>
      </c>
    </row>
    <row r="78" spans="1:6" x14ac:dyDescent="0.25">
      <c r="A78" s="155">
        <v>45967</v>
      </c>
      <c r="B78" s="156">
        <v>6</v>
      </c>
      <c r="C78" s="129" t="s">
        <v>37</v>
      </c>
      <c r="D78" s="130">
        <v>12.6</v>
      </c>
      <c r="E78" s="130">
        <v>7</v>
      </c>
      <c r="F78" s="42">
        <f>IFERROR(VLOOKUP(E78, Table2[],2, FALSE)*D78, "")</f>
        <v>661.5</v>
      </c>
    </row>
    <row r="79" spans="1:6" x14ac:dyDescent="0.25">
      <c r="A79" s="155">
        <v>45967</v>
      </c>
      <c r="B79" s="156">
        <v>8</v>
      </c>
      <c r="C79" s="129" t="s">
        <v>37</v>
      </c>
      <c r="D79" s="130">
        <v>5.8</v>
      </c>
      <c r="E79" s="130">
        <v>6.2</v>
      </c>
      <c r="F79" s="42">
        <f>IFERROR(VLOOKUP(E79, Table2[],2, FALSE)*D79, "")</f>
        <v>269.7</v>
      </c>
    </row>
    <row r="80" spans="1:6" x14ac:dyDescent="0.25">
      <c r="A80" s="155">
        <v>45967</v>
      </c>
      <c r="B80" s="156">
        <v>7</v>
      </c>
      <c r="C80" s="129" t="s">
        <v>37</v>
      </c>
      <c r="D80" s="130">
        <v>2.4</v>
      </c>
      <c r="E80" s="130">
        <v>7.1</v>
      </c>
      <c r="F80" s="42">
        <f>IFERROR(VLOOKUP(E80, Table2[],2, FALSE)*D80, "")</f>
        <v>127.8</v>
      </c>
    </row>
    <row r="81" spans="1:6" x14ac:dyDescent="0.25">
      <c r="A81" s="155">
        <v>45967</v>
      </c>
      <c r="B81" s="156">
        <v>1</v>
      </c>
      <c r="C81" s="129" t="s">
        <v>37</v>
      </c>
      <c r="D81" s="130">
        <v>8.1</v>
      </c>
      <c r="E81" s="130">
        <v>8.6</v>
      </c>
      <c r="F81" s="42">
        <f>IFERROR(VLOOKUP(E81, Table2[],2, FALSE)*D81, "")</f>
        <v>522.44999999999993</v>
      </c>
    </row>
    <row r="82" spans="1:6" x14ac:dyDescent="0.25">
      <c r="A82" s="155">
        <v>45967</v>
      </c>
      <c r="B82" s="156">
        <v>13</v>
      </c>
      <c r="C82" s="129" t="s">
        <v>37</v>
      </c>
      <c r="D82" s="130">
        <v>5.2</v>
      </c>
      <c r="E82" s="130">
        <v>8.1999999999999993</v>
      </c>
      <c r="F82" s="42">
        <f>IFERROR(VLOOKUP(E82, Table2[],2, FALSE)*D82, "")</f>
        <v>319.8</v>
      </c>
    </row>
    <row r="83" spans="1:6" x14ac:dyDescent="0.25">
      <c r="A83" s="155">
        <v>45967</v>
      </c>
      <c r="B83" s="156">
        <v>3</v>
      </c>
      <c r="C83" s="129" t="s">
        <v>37</v>
      </c>
      <c r="D83" s="130">
        <v>5.3</v>
      </c>
      <c r="E83" s="130">
        <v>7</v>
      </c>
      <c r="F83" s="42">
        <f>IFERROR(VLOOKUP(E83, Table2[],2, FALSE)*D83, "")</f>
        <v>278.25</v>
      </c>
    </row>
    <row r="84" spans="1:6" x14ac:dyDescent="0.25">
      <c r="A84" s="155">
        <v>45966</v>
      </c>
      <c r="B84" s="156">
        <v>16</v>
      </c>
      <c r="C84" s="129" t="s">
        <v>37</v>
      </c>
      <c r="D84" s="130">
        <v>4.7</v>
      </c>
      <c r="E84" s="130">
        <v>7.9</v>
      </c>
      <c r="F84" s="42">
        <f>IFERROR(VLOOKUP(E84, Table2[],2, FALSE)*D84, "")</f>
        <v>278.47500000000002</v>
      </c>
    </row>
    <row r="85" spans="1:6" x14ac:dyDescent="0.25">
      <c r="A85" s="155">
        <v>45967</v>
      </c>
      <c r="B85" s="156">
        <v>9</v>
      </c>
      <c r="C85" s="129" t="s">
        <v>37</v>
      </c>
      <c r="D85" s="130">
        <v>2</v>
      </c>
      <c r="E85" s="130">
        <v>8.3000000000000007</v>
      </c>
      <c r="F85" s="42">
        <f>IFERROR(VLOOKUP(E85, Table2[],2, FALSE)*D85, "")</f>
        <v>124.5</v>
      </c>
    </row>
    <row r="86" spans="1:6" x14ac:dyDescent="0.25">
      <c r="A86" s="155">
        <v>45967</v>
      </c>
      <c r="B86" s="156">
        <v>10</v>
      </c>
      <c r="C86" s="129" t="s">
        <v>37</v>
      </c>
      <c r="D86" s="130">
        <v>6.9</v>
      </c>
      <c r="E86" s="130">
        <v>7.7</v>
      </c>
      <c r="F86" s="42">
        <f>IFERROR(VLOOKUP(E86, Table2[],2, FALSE)*D86, "")</f>
        <v>398.47500000000002</v>
      </c>
    </row>
    <row r="87" spans="1:6" x14ac:dyDescent="0.25">
      <c r="A87" s="155">
        <v>45967</v>
      </c>
      <c r="B87" s="156">
        <v>4</v>
      </c>
      <c r="C87" s="129" t="s">
        <v>37</v>
      </c>
      <c r="D87" s="130">
        <v>16</v>
      </c>
      <c r="E87" s="130">
        <v>6.8</v>
      </c>
      <c r="F87" s="42">
        <f>IFERROR(VLOOKUP(E87, Table2[],2, FALSE)*D87, "")</f>
        <v>816</v>
      </c>
    </row>
    <row r="88" spans="1:6" x14ac:dyDescent="0.25">
      <c r="A88" s="155">
        <v>45967</v>
      </c>
      <c r="B88" s="156">
        <v>17</v>
      </c>
      <c r="C88" s="129" t="s">
        <v>37</v>
      </c>
      <c r="D88" s="130">
        <v>13.9</v>
      </c>
      <c r="E88" s="130">
        <v>6.3</v>
      </c>
      <c r="F88" s="42">
        <f>IFERROR(VLOOKUP(E88, Table2[],2, FALSE)*D88, "")</f>
        <v>656.77499999999998</v>
      </c>
    </row>
    <row r="89" spans="1:6" x14ac:dyDescent="0.25">
      <c r="A89" s="155">
        <v>45964</v>
      </c>
      <c r="B89" s="156">
        <v>11</v>
      </c>
      <c r="C89" s="129" t="s">
        <v>27</v>
      </c>
      <c r="D89" s="130">
        <v>2</v>
      </c>
      <c r="E89" s="130">
        <v>8.6</v>
      </c>
      <c r="F89" s="42">
        <f>IFERROR(VLOOKUP(E89, Table2[],2, FALSE)*D89, "")</f>
        <v>129</v>
      </c>
    </row>
    <row r="90" spans="1:6" x14ac:dyDescent="0.25">
      <c r="A90" s="155">
        <v>45968</v>
      </c>
      <c r="B90" s="156">
        <v>6</v>
      </c>
      <c r="C90" s="129" t="s">
        <v>37</v>
      </c>
      <c r="D90" s="130">
        <v>14.6</v>
      </c>
      <c r="E90" s="130">
        <v>7.7</v>
      </c>
      <c r="F90" s="42">
        <f>IFERROR(VLOOKUP(E90, Table2[],2, FALSE)*D90, "")</f>
        <v>843.15</v>
      </c>
    </row>
    <row r="91" spans="1:6" x14ac:dyDescent="0.25">
      <c r="A91" s="155">
        <v>45967</v>
      </c>
      <c r="B91" s="156">
        <v>16</v>
      </c>
      <c r="C91" s="129" t="s">
        <v>37</v>
      </c>
      <c r="D91" s="130">
        <v>4.9000000000000004</v>
      </c>
      <c r="E91" s="130">
        <v>7.9</v>
      </c>
      <c r="F91" s="42">
        <f>IFERROR(VLOOKUP(E91, Table2[],2, FALSE)*D91, "")</f>
        <v>290.32500000000005</v>
      </c>
    </row>
    <row r="92" spans="1:6" x14ac:dyDescent="0.25">
      <c r="A92" s="155">
        <v>45968</v>
      </c>
      <c r="B92" s="156">
        <v>9</v>
      </c>
      <c r="C92" s="129" t="s">
        <v>37</v>
      </c>
      <c r="D92" s="130">
        <v>1</v>
      </c>
      <c r="E92" s="130">
        <v>7.8</v>
      </c>
      <c r="F92" s="42">
        <f>IFERROR(VLOOKUP(E92, Table2[],2, FALSE)*D92, "")</f>
        <v>58.5</v>
      </c>
    </row>
    <row r="93" spans="1:6" x14ac:dyDescent="0.25">
      <c r="A93" s="155">
        <v>45966</v>
      </c>
      <c r="B93" s="156">
        <v>5</v>
      </c>
      <c r="C93" s="129" t="s">
        <v>37</v>
      </c>
      <c r="D93" s="130">
        <v>1.9</v>
      </c>
      <c r="E93" s="130">
        <v>10</v>
      </c>
      <c r="F93" s="42">
        <f>IFERROR(VLOOKUP(E93, Table2[],2, FALSE)*D93, "")</f>
        <v>142.5</v>
      </c>
    </row>
    <row r="94" spans="1:6" x14ac:dyDescent="0.25">
      <c r="A94" s="155">
        <v>45965</v>
      </c>
      <c r="B94" s="156">
        <v>15</v>
      </c>
      <c r="C94" s="129" t="s">
        <v>37</v>
      </c>
      <c r="D94" s="130">
        <v>14.3</v>
      </c>
      <c r="E94" s="130">
        <v>6.8</v>
      </c>
      <c r="F94" s="42">
        <f>IFERROR(VLOOKUP(E94, Table2[],2, FALSE)*D94, "")</f>
        <v>729.30000000000007</v>
      </c>
    </row>
    <row r="95" spans="1:6" x14ac:dyDescent="0.25">
      <c r="A95" s="155">
        <v>45965</v>
      </c>
      <c r="B95" s="156">
        <v>12</v>
      </c>
      <c r="C95" s="129" t="s">
        <v>37</v>
      </c>
      <c r="D95" s="130">
        <v>2.4</v>
      </c>
      <c r="E95" s="130">
        <v>7.5</v>
      </c>
      <c r="F95" s="42">
        <f>IFERROR(VLOOKUP(E95, Table2[],2, FALSE)*D95, "")</f>
        <v>135</v>
      </c>
    </row>
    <row r="96" spans="1:6" x14ac:dyDescent="0.25">
      <c r="A96" s="155">
        <v>45968</v>
      </c>
      <c r="B96" s="156">
        <v>1</v>
      </c>
      <c r="C96" s="129" t="s">
        <v>37</v>
      </c>
      <c r="D96" s="130">
        <v>8.1</v>
      </c>
      <c r="E96" s="130">
        <v>8.1</v>
      </c>
      <c r="F96" s="42">
        <f>IFERROR(VLOOKUP(E96, Table2[],2, FALSE)*D96, "")</f>
        <v>492.07499999999999</v>
      </c>
    </row>
    <row r="97" spans="1:6" x14ac:dyDescent="0.25">
      <c r="A97" s="155">
        <v>45968</v>
      </c>
      <c r="B97" s="156">
        <v>3</v>
      </c>
      <c r="C97" s="129" t="s">
        <v>37</v>
      </c>
      <c r="D97" s="130">
        <v>5.7</v>
      </c>
      <c r="E97" s="130">
        <v>7</v>
      </c>
      <c r="F97" s="42">
        <f>IFERROR(VLOOKUP(E97, Table2[],2, FALSE)*D97, "")</f>
        <v>299.25</v>
      </c>
    </row>
    <row r="98" spans="1:6" x14ac:dyDescent="0.25">
      <c r="A98" s="155">
        <v>45968</v>
      </c>
      <c r="B98" s="156">
        <v>8</v>
      </c>
      <c r="C98" s="129" t="s">
        <v>37</v>
      </c>
      <c r="D98" s="130">
        <v>5.6</v>
      </c>
      <c r="E98" s="130">
        <v>6.2</v>
      </c>
      <c r="F98" s="42">
        <f>IFERROR(VLOOKUP(E98, Table2[],2, FALSE)*D98, "")</f>
        <v>260.39999999999998</v>
      </c>
    </row>
    <row r="99" spans="1:6" x14ac:dyDescent="0.25">
      <c r="A99" s="155">
        <v>45968</v>
      </c>
      <c r="B99" s="156">
        <v>13</v>
      </c>
      <c r="C99" s="129" t="s">
        <v>37</v>
      </c>
      <c r="D99" s="130">
        <v>5.7</v>
      </c>
      <c r="E99" s="130">
        <v>8.6999999999999993</v>
      </c>
      <c r="F99" s="42">
        <f>IFERROR(VLOOKUP(E99, Table2[],2, FALSE)*D99, "")</f>
        <v>371.92500000000001</v>
      </c>
    </row>
    <row r="100" spans="1:6" x14ac:dyDescent="0.25">
      <c r="A100" s="155">
        <v>45965</v>
      </c>
      <c r="B100" s="156">
        <v>14</v>
      </c>
      <c r="C100" s="129" t="s">
        <v>37</v>
      </c>
      <c r="D100" s="130">
        <v>1.5</v>
      </c>
      <c r="E100" s="130">
        <v>8</v>
      </c>
      <c r="F100" s="42">
        <f>IFERROR(VLOOKUP(E100, Table2[],2, FALSE)*D100, "")</f>
        <v>90</v>
      </c>
    </row>
    <row r="101" spans="1:6" x14ac:dyDescent="0.25">
      <c r="A101" s="155">
        <v>45968</v>
      </c>
      <c r="B101" s="156">
        <v>7</v>
      </c>
      <c r="C101" s="129" t="s">
        <v>37</v>
      </c>
      <c r="D101" s="130">
        <v>2.5</v>
      </c>
      <c r="E101" s="130">
        <v>7.3</v>
      </c>
      <c r="F101" s="42">
        <f>IFERROR(VLOOKUP(E101, Table2[],2, FALSE)*D101, "")</f>
        <v>136.875</v>
      </c>
    </row>
    <row r="102" spans="1:6" x14ac:dyDescent="0.25">
      <c r="A102" s="155">
        <v>45965</v>
      </c>
      <c r="B102" s="156">
        <v>2</v>
      </c>
      <c r="C102" s="129" t="s">
        <v>37</v>
      </c>
      <c r="D102" s="130">
        <v>2.4</v>
      </c>
      <c r="E102" s="130">
        <v>10</v>
      </c>
      <c r="F102" s="42">
        <f>IFERROR(VLOOKUP(E102, Table2[],2, FALSE)*D102, "")</f>
        <v>180</v>
      </c>
    </row>
    <row r="103" spans="1:6" x14ac:dyDescent="0.25">
      <c r="A103" s="155">
        <v>45968</v>
      </c>
      <c r="B103" s="156">
        <v>17</v>
      </c>
      <c r="C103" s="129" t="s">
        <v>37</v>
      </c>
      <c r="D103" s="130">
        <v>10.7</v>
      </c>
      <c r="E103" s="130">
        <v>6.5</v>
      </c>
      <c r="F103" s="42">
        <f>IFERROR(VLOOKUP(E103, Table2[],2, FALSE)*D103, "")</f>
        <v>521.625</v>
      </c>
    </row>
    <row r="104" spans="1:6" x14ac:dyDescent="0.25">
      <c r="A104" s="155">
        <v>45968</v>
      </c>
      <c r="B104" s="156">
        <v>4</v>
      </c>
      <c r="C104" s="129" t="s">
        <v>37</v>
      </c>
      <c r="D104" s="130">
        <v>15</v>
      </c>
      <c r="E104" s="130">
        <v>6.8</v>
      </c>
      <c r="F104" s="42">
        <f>IFERROR(VLOOKUP(E104, Table2[],2, FALSE)*D104, "")</f>
        <v>765</v>
      </c>
    </row>
    <row r="105" spans="1:6" x14ac:dyDescent="0.25">
      <c r="A105" s="155">
        <v>45968</v>
      </c>
      <c r="B105" s="156">
        <v>10</v>
      </c>
      <c r="C105" s="129" t="s">
        <v>37</v>
      </c>
      <c r="D105" s="130">
        <v>8.4</v>
      </c>
      <c r="E105" s="130">
        <v>8.1999999999999993</v>
      </c>
      <c r="F105" s="42">
        <f>IFERROR(VLOOKUP(E105, Table2[],2, FALSE)*D105, "")</f>
        <v>516.6</v>
      </c>
    </row>
    <row r="106" spans="1:6" x14ac:dyDescent="0.25">
      <c r="A106" s="155">
        <v>45965</v>
      </c>
      <c r="B106" s="156">
        <v>11</v>
      </c>
      <c r="C106" s="129" t="s">
        <v>37</v>
      </c>
      <c r="D106" s="130">
        <v>1.5</v>
      </c>
      <c r="E106" s="130">
        <v>9.1999999999999993</v>
      </c>
      <c r="F106" s="42">
        <f>IFERROR(VLOOKUP(E106, Table2[],2, FALSE)*D106, "")</f>
        <v>103.5</v>
      </c>
    </row>
    <row r="107" spans="1:6" x14ac:dyDescent="0.25">
      <c r="A107" s="155">
        <v>45969</v>
      </c>
      <c r="B107" s="156">
        <v>13</v>
      </c>
      <c r="C107" s="129" t="s">
        <v>37</v>
      </c>
      <c r="D107" s="130">
        <v>5.3</v>
      </c>
      <c r="E107" s="130">
        <v>9</v>
      </c>
      <c r="F107" s="42">
        <f>IFERROR(VLOOKUP(E107, Table2[],2, FALSE)*D107, "")</f>
        <v>357.75</v>
      </c>
    </row>
    <row r="108" spans="1:6" x14ac:dyDescent="0.25">
      <c r="A108" s="155">
        <v>45969</v>
      </c>
      <c r="B108" s="156">
        <v>3</v>
      </c>
      <c r="C108" s="129" t="s">
        <v>37</v>
      </c>
      <c r="D108" s="130">
        <v>5</v>
      </c>
      <c r="E108" s="130">
        <v>7</v>
      </c>
      <c r="F108" s="42">
        <f>IFERROR(VLOOKUP(E108, Table2[],2, FALSE)*D108, "")</f>
        <v>262.5</v>
      </c>
    </row>
    <row r="109" spans="1:6" x14ac:dyDescent="0.25">
      <c r="A109" s="155">
        <v>45969</v>
      </c>
      <c r="B109" s="156">
        <v>6</v>
      </c>
      <c r="C109" s="129" t="s">
        <v>37</v>
      </c>
      <c r="D109" s="130">
        <v>12.9</v>
      </c>
      <c r="E109" s="130">
        <v>7.4</v>
      </c>
      <c r="F109" s="42">
        <f>IFERROR(VLOOKUP(E109, Table2[],2, FALSE)*D109, "")</f>
        <v>715.95</v>
      </c>
    </row>
    <row r="110" spans="1:6" x14ac:dyDescent="0.25">
      <c r="A110" s="155">
        <v>45969</v>
      </c>
      <c r="B110" s="156">
        <v>1</v>
      </c>
      <c r="C110" s="129" t="s">
        <v>37</v>
      </c>
      <c r="D110" s="130">
        <v>7.6</v>
      </c>
      <c r="E110" s="130">
        <v>8.1999999999999993</v>
      </c>
      <c r="F110" s="42">
        <f>IFERROR(VLOOKUP(E110, Table2[],2, FALSE)*D110, "")</f>
        <v>467.4</v>
      </c>
    </row>
    <row r="111" spans="1:6" x14ac:dyDescent="0.25">
      <c r="A111" s="155">
        <v>45969</v>
      </c>
      <c r="B111" s="156">
        <v>8</v>
      </c>
      <c r="C111" s="129" t="s">
        <v>37</v>
      </c>
      <c r="D111" s="130">
        <v>6.7</v>
      </c>
      <c r="E111" s="130">
        <v>6.2</v>
      </c>
      <c r="F111" s="42">
        <f>IFERROR(VLOOKUP(E111, Table2[],2, FALSE)*D111, "")</f>
        <v>311.55</v>
      </c>
    </row>
    <row r="112" spans="1:6" x14ac:dyDescent="0.25">
      <c r="A112" s="155">
        <v>45969</v>
      </c>
      <c r="B112" s="156">
        <v>9</v>
      </c>
      <c r="C112" s="129" t="s">
        <v>37</v>
      </c>
      <c r="D112" s="130">
        <v>0.8</v>
      </c>
      <c r="E112" s="130">
        <v>7.5</v>
      </c>
      <c r="F112" s="42">
        <f>IFERROR(VLOOKUP(E112, Table2[],2, FALSE)*D112, "")</f>
        <v>45</v>
      </c>
    </row>
    <row r="113" spans="1:6" x14ac:dyDescent="0.25">
      <c r="A113" s="155">
        <v>45968</v>
      </c>
      <c r="B113" s="156">
        <v>16</v>
      </c>
      <c r="C113" s="129" t="s">
        <v>37</v>
      </c>
      <c r="D113" s="130">
        <v>4.3</v>
      </c>
      <c r="E113" s="130">
        <v>7.5</v>
      </c>
      <c r="F113" s="42">
        <f>IFERROR(VLOOKUP(E113, Table2[],2, FALSE)*D113, "")</f>
        <v>241.875</v>
      </c>
    </row>
    <row r="114" spans="1:6" x14ac:dyDescent="0.25">
      <c r="A114" s="155">
        <v>45969</v>
      </c>
      <c r="B114" s="156">
        <v>17</v>
      </c>
      <c r="C114" s="129" t="s">
        <v>37</v>
      </c>
      <c r="D114" s="130">
        <v>10.8</v>
      </c>
      <c r="E114" s="130">
        <v>6.5</v>
      </c>
      <c r="F114" s="42">
        <f>IFERROR(VLOOKUP(E114, Table2[],2, FALSE)*D114, "")</f>
        <v>526.5</v>
      </c>
    </row>
    <row r="115" spans="1:6" x14ac:dyDescent="0.25">
      <c r="A115" s="155">
        <v>45969</v>
      </c>
      <c r="B115" s="156">
        <v>4</v>
      </c>
      <c r="C115" s="129" t="s">
        <v>37</v>
      </c>
      <c r="D115" s="130">
        <v>15.5</v>
      </c>
      <c r="E115" s="130">
        <v>6.6</v>
      </c>
      <c r="F115" s="42">
        <f>IFERROR(VLOOKUP(E115, Table2[],2, FALSE)*D115, "")</f>
        <v>767.25</v>
      </c>
    </row>
    <row r="116" spans="1:6" x14ac:dyDescent="0.25">
      <c r="A116" s="155">
        <v>45969</v>
      </c>
      <c r="B116" s="156">
        <v>10</v>
      </c>
      <c r="C116" s="129" t="s">
        <v>37</v>
      </c>
      <c r="D116" s="130">
        <v>9.4</v>
      </c>
      <c r="E116" s="130">
        <v>7.6</v>
      </c>
      <c r="F116" s="42">
        <f>IFERROR(VLOOKUP(E116, Table2[],2, FALSE)*D116, "")</f>
        <v>535.80000000000007</v>
      </c>
    </row>
    <row r="117" spans="1:6" x14ac:dyDescent="0.25">
      <c r="A117" s="155">
        <v>45965</v>
      </c>
      <c r="B117" s="156">
        <v>11</v>
      </c>
      <c r="C117" s="129" t="s">
        <v>27</v>
      </c>
      <c r="D117" s="130">
        <v>1.8</v>
      </c>
      <c r="E117" s="130">
        <v>9.1</v>
      </c>
      <c r="F117" s="42">
        <f>IFERROR(VLOOKUP(E117, Table2[],2, FALSE)*D117, "")</f>
        <v>122.85000000000001</v>
      </c>
    </row>
    <row r="118" spans="1:6" x14ac:dyDescent="0.25">
      <c r="A118" s="155">
        <v>45970</v>
      </c>
      <c r="B118" s="156">
        <v>6</v>
      </c>
      <c r="C118" s="129" t="s">
        <v>37</v>
      </c>
      <c r="D118" s="130">
        <v>13.7</v>
      </c>
      <c r="E118" s="130">
        <v>7.2</v>
      </c>
      <c r="F118" s="42">
        <f>IFERROR(VLOOKUP(E118, Table2[],2, FALSE)*D118, "")</f>
        <v>739.8</v>
      </c>
    </row>
    <row r="119" spans="1:6" x14ac:dyDescent="0.25">
      <c r="A119" s="155">
        <v>45969</v>
      </c>
      <c r="B119" s="156">
        <v>16</v>
      </c>
      <c r="C119" s="129" t="s">
        <v>37</v>
      </c>
      <c r="D119" s="130">
        <v>5.2</v>
      </c>
      <c r="E119" s="130">
        <v>8</v>
      </c>
      <c r="F119" s="42">
        <f>IFERROR(VLOOKUP(E119, Table2[],2, FALSE)*D119, "")</f>
        <v>312</v>
      </c>
    </row>
    <row r="120" spans="1:6" x14ac:dyDescent="0.25">
      <c r="A120" s="155">
        <v>45970</v>
      </c>
      <c r="B120" s="156">
        <v>9</v>
      </c>
      <c r="C120" s="129" t="s">
        <v>37</v>
      </c>
      <c r="D120" s="130">
        <v>1.2</v>
      </c>
      <c r="E120" s="130">
        <v>7.6</v>
      </c>
      <c r="F120" s="42">
        <f>IFERROR(VLOOKUP(E120, Table2[],2, FALSE)*D120, "")</f>
        <v>68.399999999999991</v>
      </c>
    </row>
    <row r="121" spans="1:6" x14ac:dyDescent="0.25">
      <c r="A121" s="155">
        <v>45970</v>
      </c>
      <c r="B121" s="156">
        <v>8</v>
      </c>
      <c r="C121" s="129" t="s">
        <v>37</v>
      </c>
      <c r="D121" s="130">
        <v>6.9</v>
      </c>
      <c r="E121" s="130">
        <v>6.2</v>
      </c>
      <c r="F121" s="42">
        <f>IFERROR(VLOOKUP(E121, Table2[],2, FALSE)*D121, "")</f>
        <v>320.85000000000002</v>
      </c>
    </row>
    <row r="122" spans="1:6" x14ac:dyDescent="0.25">
      <c r="A122" s="155">
        <v>45969</v>
      </c>
      <c r="B122" s="156">
        <v>7</v>
      </c>
      <c r="C122" s="129" t="s">
        <v>37</v>
      </c>
      <c r="D122" s="130">
        <v>2.4</v>
      </c>
      <c r="E122" s="130">
        <v>7.1</v>
      </c>
      <c r="F122" s="42">
        <f>IFERROR(VLOOKUP(E122, Table2[],2, FALSE)*D122, "")</f>
        <v>127.8</v>
      </c>
    </row>
    <row r="123" spans="1:6" x14ac:dyDescent="0.25">
      <c r="A123" s="155">
        <v>45967</v>
      </c>
      <c r="B123" s="156">
        <v>5</v>
      </c>
      <c r="C123" s="129" t="s">
        <v>37</v>
      </c>
      <c r="D123" s="130">
        <v>2.2999999999999998</v>
      </c>
      <c r="E123" s="130">
        <v>10</v>
      </c>
      <c r="F123" s="42">
        <f>IFERROR(VLOOKUP(E123, Table2[],2, FALSE)*D123, "")</f>
        <v>172.5</v>
      </c>
    </row>
    <row r="124" spans="1:6" x14ac:dyDescent="0.25">
      <c r="A124" s="155">
        <v>45966</v>
      </c>
      <c r="B124" s="156">
        <v>15</v>
      </c>
      <c r="C124" s="129" t="s">
        <v>37</v>
      </c>
      <c r="D124" s="130">
        <v>14.2</v>
      </c>
      <c r="E124" s="130">
        <v>7</v>
      </c>
      <c r="F124" s="42">
        <f>IFERROR(VLOOKUP(E124, Table2[],2, FALSE)*D124, "")</f>
        <v>745.5</v>
      </c>
    </row>
    <row r="125" spans="1:6" x14ac:dyDescent="0.25">
      <c r="A125" s="155">
        <v>45970</v>
      </c>
      <c r="B125" s="156">
        <v>3</v>
      </c>
      <c r="C125" s="129" t="s">
        <v>37</v>
      </c>
      <c r="D125" s="130">
        <v>5.0999999999999996</v>
      </c>
      <c r="E125" s="130">
        <v>7</v>
      </c>
      <c r="F125" s="42">
        <f>IFERROR(VLOOKUP(E125, Table2[],2, FALSE)*D125, "")</f>
        <v>267.75</v>
      </c>
    </row>
    <row r="126" spans="1:6" x14ac:dyDescent="0.25">
      <c r="A126" s="155">
        <v>45970</v>
      </c>
      <c r="B126" s="156">
        <v>13</v>
      </c>
      <c r="C126" s="129" t="s">
        <v>37</v>
      </c>
      <c r="D126" s="130">
        <v>5.5</v>
      </c>
      <c r="E126" s="130">
        <v>8.4</v>
      </c>
      <c r="F126" s="42">
        <f>IFERROR(VLOOKUP(E126, Table2[],2, FALSE)*D126, "")</f>
        <v>346.5</v>
      </c>
    </row>
    <row r="127" spans="1:6" x14ac:dyDescent="0.25">
      <c r="A127" s="155">
        <v>45966</v>
      </c>
      <c r="B127" s="156">
        <v>14</v>
      </c>
      <c r="C127" s="129" t="s">
        <v>37</v>
      </c>
      <c r="D127" s="130">
        <v>1.5</v>
      </c>
      <c r="E127" s="130">
        <v>8.4</v>
      </c>
      <c r="F127" s="42">
        <f>IFERROR(VLOOKUP(E127, Table2[],2, FALSE)*D127, "")</f>
        <v>94.5</v>
      </c>
    </row>
    <row r="128" spans="1:6" x14ac:dyDescent="0.25">
      <c r="A128" s="155">
        <v>45970</v>
      </c>
      <c r="B128" s="156">
        <v>17</v>
      </c>
      <c r="C128" s="129" t="s">
        <v>37</v>
      </c>
      <c r="D128" s="130">
        <v>10.6</v>
      </c>
      <c r="E128" s="130">
        <v>6.2</v>
      </c>
      <c r="F128" s="42">
        <f>IFERROR(VLOOKUP(E128, Table2[],2, FALSE)*D128, "")</f>
        <v>492.9</v>
      </c>
    </row>
    <row r="129" spans="1:6" x14ac:dyDescent="0.25">
      <c r="A129" s="155">
        <v>45966</v>
      </c>
      <c r="B129" s="156">
        <v>2</v>
      </c>
      <c r="C129" s="129" t="s">
        <v>37</v>
      </c>
      <c r="D129" s="130">
        <v>1.5</v>
      </c>
      <c r="E129" s="130">
        <v>10</v>
      </c>
      <c r="F129" s="42">
        <f>IFERROR(VLOOKUP(E129, Table2[],2, FALSE)*D129, "")</f>
        <v>112.5</v>
      </c>
    </row>
    <row r="130" spans="1:6" x14ac:dyDescent="0.25">
      <c r="A130" s="155">
        <v>45966</v>
      </c>
      <c r="B130" s="156">
        <v>12</v>
      </c>
      <c r="C130" s="129" t="s">
        <v>37</v>
      </c>
      <c r="D130" s="130">
        <v>2.4</v>
      </c>
      <c r="E130" s="130">
        <v>8</v>
      </c>
      <c r="F130" s="42">
        <f>IFERROR(VLOOKUP(E130, Table2[],2, FALSE)*D130, "")</f>
        <v>144</v>
      </c>
    </row>
    <row r="131" spans="1:6" x14ac:dyDescent="0.25">
      <c r="A131" s="155">
        <v>45970</v>
      </c>
      <c r="B131" s="156">
        <v>1</v>
      </c>
      <c r="C131" s="129" t="s">
        <v>37</v>
      </c>
      <c r="D131" s="130">
        <v>8.4</v>
      </c>
      <c r="E131" s="130">
        <v>8.1</v>
      </c>
      <c r="F131" s="42">
        <f>IFERROR(VLOOKUP(E131, Table2[],2, FALSE)*D131, "")</f>
        <v>510.3</v>
      </c>
    </row>
    <row r="132" spans="1:6" x14ac:dyDescent="0.25">
      <c r="A132" s="155">
        <v>45970</v>
      </c>
      <c r="B132" s="156">
        <v>4</v>
      </c>
      <c r="C132" s="129" t="s">
        <v>37</v>
      </c>
      <c r="D132" s="130">
        <v>16</v>
      </c>
      <c r="E132" s="130">
        <v>6.6</v>
      </c>
      <c r="F132" s="42">
        <f>IFERROR(VLOOKUP(E132, Table2[],2, FALSE)*D132, "")</f>
        <v>792</v>
      </c>
    </row>
    <row r="133" spans="1:6" x14ac:dyDescent="0.25">
      <c r="A133" s="155">
        <v>45970</v>
      </c>
      <c r="B133" s="156">
        <v>10</v>
      </c>
      <c r="C133" s="129" t="s">
        <v>37</v>
      </c>
      <c r="D133" s="130">
        <v>9.1</v>
      </c>
      <c r="E133" s="130">
        <v>8.1</v>
      </c>
      <c r="F133" s="42">
        <f>IFERROR(VLOOKUP(E133, Table2[],2, FALSE)*D133, "")</f>
        <v>552.82499999999993</v>
      </c>
    </row>
    <row r="134" spans="1:6" x14ac:dyDescent="0.25">
      <c r="A134" s="155">
        <v>45971</v>
      </c>
      <c r="B134" s="156">
        <v>8</v>
      </c>
      <c r="C134" s="129" t="s">
        <v>37</v>
      </c>
      <c r="D134" s="130">
        <v>6.9</v>
      </c>
      <c r="E134" s="130">
        <v>6.4</v>
      </c>
      <c r="F134" s="42">
        <f>IFERROR(VLOOKUP(E134, Table2[],2, FALSE)*D134, "")</f>
        <v>331.20000000000005</v>
      </c>
    </row>
    <row r="135" spans="1:6" x14ac:dyDescent="0.25">
      <c r="A135" s="155">
        <v>45971</v>
      </c>
      <c r="B135" s="156">
        <v>6</v>
      </c>
      <c r="C135" s="129" t="s">
        <v>37</v>
      </c>
      <c r="D135" s="130">
        <v>13.4</v>
      </c>
      <c r="E135" s="130">
        <v>7.5</v>
      </c>
      <c r="F135" s="42">
        <f>IFERROR(VLOOKUP(E135, Table2[],2, FALSE)*D135, "")</f>
        <v>753.75</v>
      </c>
    </row>
    <row r="136" spans="1:6" x14ac:dyDescent="0.25">
      <c r="A136" s="155">
        <v>45971</v>
      </c>
      <c r="B136" s="156">
        <v>1</v>
      </c>
      <c r="C136" s="129" t="s">
        <v>37</v>
      </c>
      <c r="D136" s="130">
        <v>8</v>
      </c>
      <c r="E136" s="130">
        <v>7.8</v>
      </c>
      <c r="F136" s="42">
        <f>IFERROR(VLOOKUP(E136, Table2[],2, FALSE)*D136, "")</f>
        <v>468</v>
      </c>
    </row>
    <row r="137" spans="1:6" x14ac:dyDescent="0.25">
      <c r="A137" s="155">
        <v>45971</v>
      </c>
      <c r="B137" s="156">
        <v>3</v>
      </c>
      <c r="C137" s="129" t="s">
        <v>37</v>
      </c>
      <c r="D137" s="130">
        <v>5.3</v>
      </c>
      <c r="E137" s="130">
        <v>6.8</v>
      </c>
      <c r="F137" s="42">
        <f>IFERROR(VLOOKUP(E137, Table2[],2, FALSE)*D137, "")</f>
        <v>270.3</v>
      </c>
    </row>
    <row r="138" spans="1:6" x14ac:dyDescent="0.25">
      <c r="A138" s="155">
        <v>45971</v>
      </c>
      <c r="B138" s="156">
        <v>13</v>
      </c>
      <c r="C138" s="129" t="s">
        <v>37</v>
      </c>
      <c r="D138" s="130">
        <v>5.3</v>
      </c>
      <c r="E138" s="130">
        <v>8.1</v>
      </c>
      <c r="F138" s="42">
        <f>IFERROR(VLOOKUP(E138, Table2[],2, FALSE)*D138, "")</f>
        <v>321.97499999999997</v>
      </c>
    </row>
    <row r="139" spans="1:6" x14ac:dyDescent="0.25">
      <c r="A139" s="155">
        <v>45970</v>
      </c>
      <c r="B139" s="156">
        <v>7</v>
      </c>
      <c r="C139" s="129" t="s">
        <v>37</v>
      </c>
      <c r="D139" s="130">
        <v>2.2000000000000002</v>
      </c>
      <c r="E139" s="130">
        <v>7.6</v>
      </c>
      <c r="F139" s="42">
        <f>IFERROR(VLOOKUP(E139, Table2[],2, FALSE)*D139, "")</f>
        <v>125.4</v>
      </c>
    </row>
    <row r="140" spans="1:6" x14ac:dyDescent="0.25">
      <c r="A140" s="155">
        <v>45970</v>
      </c>
      <c r="B140" s="156">
        <v>16</v>
      </c>
      <c r="C140" s="129" t="s">
        <v>37</v>
      </c>
      <c r="D140" s="130">
        <v>3.8</v>
      </c>
      <c r="E140" s="130">
        <v>6.5</v>
      </c>
      <c r="F140" s="42">
        <f>IFERROR(VLOOKUP(E140, Table2[],2, FALSE)*D140, "")</f>
        <v>185.25</v>
      </c>
    </row>
    <row r="141" spans="1:6" x14ac:dyDescent="0.25">
      <c r="A141" s="155">
        <v>45971</v>
      </c>
      <c r="B141" s="156">
        <v>17</v>
      </c>
      <c r="C141" s="129" t="s">
        <v>37</v>
      </c>
      <c r="D141" s="130">
        <v>11.4</v>
      </c>
      <c r="E141" s="130">
        <v>6.7</v>
      </c>
      <c r="F141" s="42">
        <f>IFERROR(VLOOKUP(E141, Table2[],2, FALSE)*D141, "")</f>
        <v>572.85</v>
      </c>
    </row>
    <row r="142" spans="1:6" x14ac:dyDescent="0.25">
      <c r="A142" s="155">
        <v>45971</v>
      </c>
      <c r="B142" s="156">
        <v>10</v>
      </c>
      <c r="C142" s="129" t="s">
        <v>37</v>
      </c>
      <c r="D142" s="130">
        <v>9.6</v>
      </c>
      <c r="E142" s="130">
        <v>7.9</v>
      </c>
      <c r="F142" s="42">
        <f>IFERROR(VLOOKUP(E142, Table2[],2, FALSE)*D142, "")</f>
        <v>568.79999999999995</v>
      </c>
    </row>
    <row r="143" spans="1:6" x14ac:dyDescent="0.25">
      <c r="A143" s="155">
        <v>45971</v>
      </c>
      <c r="B143" s="156">
        <v>4</v>
      </c>
      <c r="C143" s="129" t="s">
        <v>37</v>
      </c>
      <c r="D143" s="130">
        <v>15.9</v>
      </c>
      <c r="E143" s="130">
        <v>6.8</v>
      </c>
      <c r="F143" s="42">
        <f>IFERROR(VLOOKUP(E143, Table2[],2, FALSE)*D143, "")</f>
        <v>810.9</v>
      </c>
    </row>
    <row r="144" spans="1:6" x14ac:dyDescent="0.25">
      <c r="A144" s="155">
        <v>45966</v>
      </c>
      <c r="B144" s="156">
        <v>11</v>
      </c>
      <c r="C144" s="129" t="s">
        <v>27</v>
      </c>
      <c r="D144" s="130">
        <v>2</v>
      </c>
      <c r="E144" s="130">
        <v>8.9</v>
      </c>
      <c r="F144" s="42">
        <f>IFERROR(VLOOKUP(E144, Table2[],2, FALSE)*D144, "")</f>
        <v>133.5</v>
      </c>
    </row>
    <row r="145" spans="1:6" x14ac:dyDescent="0.25">
      <c r="A145" s="155">
        <v>45972</v>
      </c>
      <c r="B145" s="156">
        <v>6</v>
      </c>
      <c r="C145" s="129" t="s">
        <v>37</v>
      </c>
      <c r="D145" s="130">
        <v>13.6</v>
      </c>
      <c r="E145" s="130">
        <v>7.5</v>
      </c>
      <c r="F145" s="42">
        <f>IFERROR(VLOOKUP(E145, Table2[],2, FALSE)*D145, "")</f>
        <v>765</v>
      </c>
    </row>
    <row r="146" spans="1:6" x14ac:dyDescent="0.25">
      <c r="A146" s="155">
        <v>45971</v>
      </c>
      <c r="B146" s="156">
        <v>7</v>
      </c>
      <c r="C146" s="129" t="s">
        <v>37</v>
      </c>
      <c r="D146" s="130">
        <v>2.4</v>
      </c>
      <c r="E146" s="130">
        <v>7.4</v>
      </c>
      <c r="F146" s="42">
        <f>IFERROR(VLOOKUP(E146, Table2[],2, FALSE)*D146, "")</f>
        <v>133.19999999999999</v>
      </c>
    </row>
    <row r="147" spans="1:6" x14ac:dyDescent="0.25">
      <c r="A147" s="155">
        <v>45972</v>
      </c>
      <c r="B147" s="156">
        <v>1</v>
      </c>
      <c r="C147" s="129" t="s">
        <v>37</v>
      </c>
      <c r="D147" s="130">
        <v>7.6</v>
      </c>
      <c r="E147" s="130">
        <v>7.6</v>
      </c>
      <c r="F147" s="42">
        <f>IFERROR(VLOOKUP(E147, Table2[],2, FALSE)*D147, "")</f>
        <v>433.2</v>
      </c>
    </row>
    <row r="148" spans="1:6" x14ac:dyDescent="0.25">
      <c r="A148" s="155">
        <v>45972</v>
      </c>
      <c r="B148" s="156">
        <v>8</v>
      </c>
      <c r="C148" s="129" t="s">
        <v>37</v>
      </c>
      <c r="D148" s="130">
        <v>6.7</v>
      </c>
      <c r="E148" s="130">
        <v>6.1</v>
      </c>
      <c r="F148" s="42">
        <f>IFERROR(VLOOKUP(E148, Table2[],2, FALSE)*D148, "")</f>
        <v>306.52500000000003</v>
      </c>
    </row>
    <row r="149" spans="1:6" x14ac:dyDescent="0.25">
      <c r="A149" s="155">
        <v>45971</v>
      </c>
      <c r="B149" s="156">
        <v>16</v>
      </c>
      <c r="C149" s="129" t="s">
        <v>37</v>
      </c>
      <c r="D149" s="130">
        <v>5.7</v>
      </c>
      <c r="E149" s="130">
        <v>8.1999999999999993</v>
      </c>
      <c r="F149" s="42">
        <f>IFERROR(VLOOKUP(E149, Table2[],2, FALSE)*D149, "")</f>
        <v>350.55</v>
      </c>
    </row>
    <row r="150" spans="1:6" x14ac:dyDescent="0.25">
      <c r="A150" s="155">
        <v>45968</v>
      </c>
      <c r="B150" s="156">
        <v>5</v>
      </c>
      <c r="C150" s="129" t="s">
        <v>37</v>
      </c>
      <c r="D150" s="130">
        <v>2.1</v>
      </c>
      <c r="E150" s="130">
        <v>10</v>
      </c>
      <c r="F150" s="42">
        <f>IFERROR(VLOOKUP(E150, Table2[],2, FALSE)*D150, "")</f>
        <v>157.5</v>
      </c>
    </row>
    <row r="151" spans="1:6" x14ac:dyDescent="0.25">
      <c r="A151" s="155">
        <v>45972</v>
      </c>
      <c r="B151" s="156">
        <v>3</v>
      </c>
      <c r="C151" s="129" t="s">
        <v>37</v>
      </c>
      <c r="D151" s="130">
        <v>5.6</v>
      </c>
      <c r="E151" s="130">
        <v>6.7</v>
      </c>
      <c r="F151" s="42">
        <f>IFERROR(VLOOKUP(E151, Table2[],2, FALSE)*D151, "")</f>
        <v>281.39999999999998</v>
      </c>
    </row>
    <row r="152" spans="1:6" x14ac:dyDescent="0.25">
      <c r="A152" s="155">
        <v>45972</v>
      </c>
      <c r="B152" s="156">
        <v>13</v>
      </c>
      <c r="C152" s="129" t="s">
        <v>37</v>
      </c>
      <c r="D152" s="130">
        <v>5.2</v>
      </c>
      <c r="E152" s="130">
        <v>8.4</v>
      </c>
      <c r="F152" s="42">
        <f>IFERROR(VLOOKUP(E152, Table2[],2, FALSE)*D152, "")</f>
        <v>327.60000000000002</v>
      </c>
    </row>
    <row r="153" spans="1:6" x14ac:dyDescent="0.25">
      <c r="A153" s="155">
        <v>45967</v>
      </c>
      <c r="B153" s="156">
        <v>14</v>
      </c>
      <c r="C153" s="129" t="s">
        <v>37</v>
      </c>
      <c r="D153" s="130">
        <v>1.5</v>
      </c>
      <c r="E153" s="130">
        <v>8.3000000000000007</v>
      </c>
      <c r="F153" s="42">
        <f>IFERROR(VLOOKUP(E153, Table2[],2, FALSE)*D153, "")</f>
        <v>93.375</v>
      </c>
    </row>
    <row r="154" spans="1:6" x14ac:dyDescent="0.25">
      <c r="A154" s="155">
        <v>45972</v>
      </c>
      <c r="B154" s="156">
        <v>17</v>
      </c>
      <c r="C154" s="129" t="s">
        <v>37</v>
      </c>
      <c r="D154" s="130">
        <v>11.2</v>
      </c>
      <c r="E154" s="130">
        <v>6</v>
      </c>
      <c r="F154" s="42">
        <f>IFERROR(VLOOKUP(E154, Table2[],2, FALSE)*D154, "")</f>
        <v>503.99999999999994</v>
      </c>
    </row>
    <row r="155" spans="1:6" x14ac:dyDescent="0.25">
      <c r="A155" s="155">
        <v>45967</v>
      </c>
      <c r="B155" s="156">
        <v>2</v>
      </c>
      <c r="C155" s="129" t="s">
        <v>37</v>
      </c>
      <c r="D155" s="130">
        <v>1.6</v>
      </c>
      <c r="E155" s="130">
        <v>10</v>
      </c>
      <c r="F155" s="42">
        <f>IFERROR(VLOOKUP(E155, Table2[],2, FALSE)*D155, "")</f>
        <v>120</v>
      </c>
    </row>
    <row r="156" spans="1:6" x14ac:dyDescent="0.25">
      <c r="A156" s="155">
        <v>45971</v>
      </c>
      <c r="B156" s="156">
        <v>9</v>
      </c>
      <c r="C156" s="129" t="s">
        <v>37</v>
      </c>
      <c r="D156" s="130">
        <v>1.4</v>
      </c>
      <c r="E156" s="130">
        <v>8.3000000000000007</v>
      </c>
      <c r="F156" s="42">
        <f>IFERROR(VLOOKUP(E156, Table2[],2, FALSE)*D156, "")</f>
        <v>87.149999999999991</v>
      </c>
    </row>
    <row r="157" spans="1:6" x14ac:dyDescent="0.25">
      <c r="A157" s="155">
        <v>45967</v>
      </c>
      <c r="B157" s="156">
        <v>12</v>
      </c>
      <c r="C157" s="129" t="s">
        <v>37</v>
      </c>
      <c r="D157" s="130">
        <v>3.1</v>
      </c>
      <c r="E157" s="130">
        <v>7.5</v>
      </c>
      <c r="F157" s="42">
        <f>IFERROR(VLOOKUP(E157, Table2[],2, FALSE)*D157, "")</f>
        <v>174.375</v>
      </c>
    </row>
    <row r="158" spans="1:6" x14ac:dyDescent="0.25">
      <c r="A158" s="155">
        <v>45967</v>
      </c>
      <c r="B158" s="156">
        <v>15</v>
      </c>
      <c r="C158" s="129" t="s">
        <v>37</v>
      </c>
      <c r="D158" s="130">
        <v>11.4</v>
      </c>
      <c r="E158" s="130">
        <v>7.2</v>
      </c>
      <c r="F158" s="42">
        <f>IFERROR(VLOOKUP(E158, Table2[],2, FALSE)*D158, "")</f>
        <v>615.6</v>
      </c>
    </row>
    <row r="159" spans="1:6" x14ac:dyDescent="0.25">
      <c r="A159" s="155">
        <v>45972</v>
      </c>
      <c r="B159" s="156">
        <v>4</v>
      </c>
      <c r="C159" s="129" t="s">
        <v>37</v>
      </c>
      <c r="D159" s="130">
        <v>15.6</v>
      </c>
      <c r="E159" s="130">
        <v>6.7</v>
      </c>
      <c r="F159" s="42">
        <f>IFERROR(VLOOKUP(E159, Table2[],2, FALSE)*D159, "")</f>
        <v>783.9</v>
      </c>
    </row>
    <row r="160" spans="1:6" x14ac:dyDescent="0.25">
      <c r="A160" s="155">
        <v>45972</v>
      </c>
      <c r="B160" s="156">
        <v>10</v>
      </c>
      <c r="C160" s="129" t="s">
        <v>37</v>
      </c>
      <c r="D160" s="130">
        <v>9.1</v>
      </c>
      <c r="E160" s="130">
        <v>8.4</v>
      </c>
      <c r="F160" s="42">
        <f>IFERROR(VLOOKUP(E160, Table2[],2, FALSE)*D160, "")</f>
        <v>573.29999999999995</v>
      </c>
    </row>
    <row r="161" spans="1:6" x14ac:dyDescent="0.25">
      <c r="A161" s="155">
        <v>45967</v>
      </c>
      <c r="B161" s="156">
        <v>11</v>
      </c>
      <c r="C161" s="129" t="s">
        <v>37</v>
      </c>
      <c r="D161" s="130">
        <v>1.7</v>
      </c>
      <c r="E161" s="130">
        <v>9.4</v>
      </c>
      <c r="F161" s="42">
        <f>IFERROR(VLOOKUP(E161, Table2[],2, FALSE)*D161, "")</f>
        <v>119.85</v>
      </c>
    </row>
    <row r="162" spans="1:6" x14ac:dyDescent="0.25">
      <c r="A162" s="155">
        <v>45973</v>
      </c>
      <c r="B162" s="156">
        <v>3</v>
      </c>
      <c r="C162" s="129" t="s">
        <v>37</v>
      </c>
      <c r="D162" s="130">
        <v>5.2</v>
      </c>
      <c r="E162" s="130">
        <v>6.8</v>
      </c>
      <c r="F162" s="42">
        <f>IFERROR(VLOOKUP(E162, Table2[],2, FALSE)*D162, "")</f>
        <v>265.2</v>
      </c>
    </row>
    <row r="163" spans="1:6" x14ac:dyDescent="0.25">
      <c r="A163" s="155">
        <v>45973</v>
      </c>
      <c r="B163" s="156">
        <v>1</v>
      </c>
      <c r="C163" s="129" t="s">
        <v>37</v>
      </c>
      <c r="D163" s="130">
        <v>8.5</v>
      </c>
      <c r="E163" s="130">
        <v>8</v>
      </c>
      <c r="F163" s="42">
        <f>IFERROR(VLOOKUP(E163, Table2[],2, FALSE)*D163, "")</f>
        <v>510</v>
      </c>
    </row>
    <row r="164" spans="1:6" x14ac:dyDescent="0.25">
      <c r="A164" s="155">
        <v>45973</v>
      </c>
      <c r="B164" s="156">
        <v>13</v>
      </c>
      <c r="C164" s="129" t="s">
        <v>37</v>
      </c>
      <c r="D164" s="130">
        <v>3.6</v>
      </c>
      <c r="E164" s="130">
        <v>7.9</v>
      </c>
      <c r="F164" s="42">
        <f>IFERROR(VLOOKUP(E164, Table2[],2, FALSE)*D164, "")</f>
        <v>213.3</v>
      </c>
    </row>
    <row r="165" spans="1:6" x14ac:dyDescent="0.25">
      <c r="A165" s="155">
        <v>45972</v>
      </c>
      <c r="B165" s="156">
        <v>7</v>
      </c>
      <c r="C165" s="129" t="s">
        <v>37</v>
      </c>
      <c r="D165" s="130">
        <v>2.7</v>
      </c>
      <c r="E165" s="130">
        <v>7</v>
      </c>
      <c r="F165" s="42">
        <f>IFERROR(VLOOKUP(E165, Table2[],2, FALSE)*D165, "")</f>
        <v>141.75</v>
      </c>
    </row>
    <row r="166" spans="1:6" x14ac:dyDescent="0.25">
      <c r="A166" s="155">
        <v>45972</v>
      </c>
      <c r="B166" s="156">
        <v>9</v>
      </c>
      <c r="C166" s="129" t="s">
        <v>37</v>
      </c>
      <c r="D166" s="130">
        <v>1.2</v>
      </c>
      <c r="E166" s="130">
        <v>7.6</v>
      </c>
      <c r="F166" s="42">
        <f>IFERROR(VLOOKUP(E166, Table2[],2, FALSE)*D166, "")</f>
        <v>68.399999999999991</v>
      </c>
    </row>
    <row r="167" spans="1:6" x14ac:dyDescent="0.25">
      <c r="A167" s="155">
        <v>45972</v>
      </c>
      <c r="B167" s="156">
        <v>16</v>
      </c>
      <c r="C167" s="129" t="s">
        <v>37</v>
      </c>
      <c r="D167" s="130">
        <v>4.2</v>
      </c>
      <c r="E167" s="130">
        <v>8.5</v>
      </c>
      <c r="F167" s="42">
        <f>IFERROR(VLOOKUP(E167, Table2[],2, FALSE)*D167, "")</f>
        <v>267.75</v>
      </c>
    </row>
    <row r="168" spans="1:6" x14ac:dyDescent="0.25">
      <c r="A168" s="155">
        <v>45973</v>
      </c>
      <c r="B168" s="156">
        <v>8</v>
      </c>
      <c r="C168" s="129" t="s">
        <v>37</v>
      </c>
      <c r="D168" s="130">
        <v>7.1</v>
      </c>
      <c r="E168" s="130">
        <v>6.7</v>
      </c>
      <c r="F168" s="42">
        <f>IFERROR(VLOOKUP(E168, Table2[],2, FALSE)*D168, "")</f>
        <v>356.77499999999998</v>
      </c>
    </row>
    <row r="169" spans="1:6" x14ac:dyDescent="0.25">
      <c r="A169" s="155">
        <v>45973</v>
      </c>
      <c r="B169" s="156">
        <v>17</v>
      </c>
      <c r="C169" s="129" t="s">
        <v>37</v>
      </c>
      <c r="D169" s="130">
        <v>9.6999999999999993</v>
      </c>
      <c r="E169" s="130">
        <v>7</v>
      </c>
      <c r="F169" s="42">
        <f>IFERROR(VLOOKUP(E169, Table2[],2, FALSE)*D169, "")</f>
        <v>509.24999999999994</v>
      </c>
    </row>
    <row r="170" spans="1:6" x14ac:dyDescent="0.25">
      <c r="A170" s="155">
        <v>45973</v>
      </c>
      <c r="B170" s="156">
        <v>4</v>
      </c>
      <c r="C170" s="129" t="s">
        <v>37</v>
      </c>
      <c r="D170" s="130">
        <v>15.5</v>
      </c>
      <c r="E170" s="130">
        <v>6.6</v>
      </c>
      <c r="F170" s="42">
        <f>IFERROR(VLOOKUP(E170, Table2[],2, FALSE)*D170, "")</f>
        <v>767.25</v>
      </c>
    </row>
    <row r="171" spans="1:6" x14ac:dyDescent="0.25">
      <c r="A171" s="155">
        <v>45973</v>
      </c>
      <c r="B171" s="156">
        <v>10</v>
      </c>
      <c r="C171" s="129" t="s">
        <v>37</v>
      </c>
      <c r="D171" s="130">
        <v>9.3000000000000007</v>
      </c>
      <c r="E171" s="130">
        <v>7.7</v>
      </c>
      <c r="F171" s="42">
        <f>IFERROR(VLOOKUP(E171, Table2[],2, FALSE)*D171, "")</f>
        <v>537.07500000000005</v>
      </c>
    </row>
    <row r="172" spans="1:6" x14ac:dyDescent="0.25">
      <c r="A172" s="155">
        <v>45973</v>
      </c>
      <c r="B172" s="156">
        <v>6</v>
      </c>
      <c r="C172" s="129" t="s">
        <v>37</v>
      </c>
      <c r="D172" s="130">
        <v>13.7</v>
      </c>
      <c r="E172" s="130">
        <v>7.3</v>
      </c>
      <c r="F172" s="42">
        <f>IFERROR(VLOOKUP(E172, Table2[],2, FALSE)*D172, "")</f>
        <v>750.07499999999993</v>
      </c>
    </row>
    <row r="173" spans="1:6" x14ac:dyDescent="0.25">
      <c r="A173" s="155">
        <v>45967</v>
      </c>
      <c r="B173" s="156">
        <v>11</v>
      </c>
      <c r="C173" s="129" t="s">
        <v>27</v>
      </c>
      <c r="D173" s="130">
        <v>2</v>
      </c>
      <c r="E173" s="130">
        <v>8.6</v>
      </c>
      <c r="F173" s="42">
        <f>IFERROR(VLOOKUP(E173, Table2[],2, FALSE)*D173, "")</f>
        <v>129</v>
      </c>
    </row>
    <row r="174" spans="1:6" x14ac:dyDescent="0.25">
      <c r="A174" s="155">
        <v>45974</v>
      </c>
      <c r="B174" s="156">
        <v>6</v>
      </c>
      <c r="C174" s="129" t="s">
        <v>37</v>
      </c>
      <c r="D174" s="130">
        <v>13.3</v>
      </c>
      <c r="E174" s="130">
        <v>7.4</v>
      </c>
      <c r="F174" s="42">
        <f>IFERROR(VLOOKUP(E174, Table2[],2, FALSE)*D174, "")</f>
        <v>738.15000000000009</v>
      </c>
    </row>
    <row r="175" spans="1:6" x14ac:dyDescent="0.25">
      <c r="A175" s="155">
        <v>45974</v>
      </c>
      <c r="B175" s="156">
        <v>8</v>
      </c>
      <c r="C175" s="129" t="s">
        <v>37</v>
      </c>
      <c r="D175" s="130">
        <v>7.5</v>
      </c>
      <c r="E175" s="130">
        <v>6.4</v>
      </c>
      <c r="F175" s="42">
        <f>IFERROR(VLOOKUP(E175, Table2[],2, FALSE)*D175, "")</f>
        <v>360</v>
      </c>
    </row>
    <row r="176" spans="1:6" x14ac:dyDescent="0.25">
      <c r="A176" s="155">
        <v>45968</v>
      </c>
      <c r="B176" s="156">
        <v>12</v>
      </c>
      <c r="C176" s="129" t="s">
        <v>37</v>
      </c>
      <c r="D176" s="130">
        <v>1.4</v>
      </c>
      <c r="E176" s="130">
        <v>8.3000000000000007</v>
      </c>
      <c r="F176" s="42">
        <f>IFERROR(VLOOKUP(E176, Table2[],2, FALSE)*D176, "")</f>
        <v>87.149999999999991</v>
      </c>
    </row>
    <row r="177" spans="1:6" x14ac:dyDescent="0.25">
      <c r="A177" s="155">
        <v>45973</v>
      </c>
      <c r="B177" s="156">
        <v>7</v>
      </c>
      <c r="C177" s="129" t="s">
        <v>37</v>
      </c>
      <c r="D177" s="130">
        <v>3.5</v>
      </c>
      <c r="E177" s="130">
        <v>7</v>
      </c>
      <c r="F177" s="42">
        <f>IFERROR(VLOOKUP(E177, Table2[],2, FALSE)*D177, "")</f>
        <v>183.75</v>
      </c>
    </row>
    <row r="178" spans="1:6" x14ac:dyDescent="0.25">
      <c r="A178" s="155">
        <v>45973</v>
      </c>
      <c r="B178" s="156">
        <v>16</v>
      </c>
      <c r="C178" s="129" t="s">
        <v>37</v>
      </c>
      <c r="D178" s="130">
        <v>4.5</v>
      </c>
      <c r="E178" s="130">
        <v>7.2</v>
      </c>
      <c r="F178" s="42">
        <f>IFERROR(VLOOKUP(E178, Table2[],2, FALSE)*D178, "")</f>
        <v>243</v>
      </c>
    </row>
    <row r="179" spans="1:6" x14ac:dyDescent="0.25">
      <c r="A179" s="155">
        <v>45969</v>
      </c>
      <c r="B179" s="156">
        <v>5</v>
      </c>
      <c r="C179" s="129" t="s">
        <v>37</v>
      </c>
      <c r="D179" s="130">
        <v>2.2000000000000002</v>
      </c>
      <c r="E179" s="130">
        <v>10</v>
      </c>
      <c r="F179" s="42">
        <f>IFERROR(VLOOKUP(E179, Table2[],2, FALSE)*D179, "")</f>
        <v>165</v>
      </c>
    </row>
    <row r="180" spans="1:6" x14ac:dyDescent="0.25">
      <c r="A180" s="155">
        <v>45974</v>
      </c>
      <c r="B180" s="156">
        <v>3</v>
      </c>
      <c r="C180" s="129" t="s">
        <v>37</v>
      </c>
      <c r="D180" s="130">
        <v>5.2</v>
      </c>
      <c r="E180" s="130">
        <v>6.5</v>
      </c>
      <c r="F180" s="42">
        <f>IFERROR(VLOOKUP(E180, Table2[],2, FALSE)*D180, "")</f>
        <v>253.5</v>
      </c>
    </row>
    <row r="181" spans="1:6" x14ac:dyDescent="0.25">
      <c r="A181" s="155">
        <v>45974</v>
      </c>
      <c r="B181" s="156">
        <v>13</v>
      </c>
      <c r="C181" s="129" t="s">
        <v>37</v>
      </c>
      <c r="D181" s="130">
        <v>2.5</v>
      </c>
      <c r="E181" s="130">
        <v>10</v>
      </c>
      <c r="F181" s="42">
        <f>IFERROR(VLOOKUP(E181, Table2[],2, FALSE)*D181, "")</f>
        <v>187.5</v>
      </c>
    </row>
    <row r="182" spans="1:6" x14ac:dyDescent="0.25">
      <c r="A182" s="155">
        <v>45968</v>
      </c>
      <c r="B182" s="156">
        <v>14</v>
      </c>
      <c r="C182" s="129" t="s">
        <v>37</v>
      </c>
      <c r="D182" s="130">
        <v>1.6</v>
      </c>
      <c r="E182" s="130">
        <v>8.1999999999999993</v>
      </c>
      <c r="F182" s="42">
        <f>IFERROR(VLOOKUP(E182, Table2[],2, FALSE)*D182, "")</f>
        <v>98.4</v>
      </c>
    </row>
    <row r="183" spans="1:6" x14ac:dyDescent="0.25">
      <c r="A183" s="155">
        <v>45974</v>
      </c>
      <c r="B183" s="156">
        <v>17</v>
      </c>
      <c r="C183" s="129" t="s">
        <v>37</v>
      </c>
      <c r="D183" s="130">
        <v>10.6</v>
      </c>
      <c r="E183" s="130">
        <v>6.5</v>
      </c>
      <c r="F183" s="42">
        <f>IFERROR(VLOOKUP(E183, Table2[],2, FALSE)*D183, "")</f>
        <v>516.75</v>
      </c>
    </row>
    <row r="184" spans="1:6" x14ac:dyDescent="0.25">
      <c r="A184" s="155">
        <v>45974</v>
      </c>
      <c r="B184" s="156">
        <v>1</v>
      </c>
      <c r="C184" s="129" t="s">
        <v>37</v>
      </c>
      <c r="D184" s="130">
        <v>7.3</v>
      </c>
      <c r="E184" s="130">
        <v>8.5</v>
      </c>
      <c r="F184" s="42">
        <f>IFERROR(VLOOKUP(E184, Table2[],2, FALSE)*D184, "")</f>
        <v>465.375</v>
      </c>
    </row>
    <row r="185" spans="1:6" x14ac:dyDescent="0.25">
      <c r="A185" s="155">
        <v>45968</v>
      </c>
      <c r="B185" s="156">
        <v>15</v>
      </c>
      <c r="C185" s="129" t="s">
        <v>37</v>
      </c>
      <c r="D185" s="130">
        <v>10.9</v>
      </c>
      <c r="E185" s="130">
        <v>7.5</v>
      </c>
      <c r="F185" s="42">
        <f>IFERROR(VLOOKUP(E185, Table2[],2, FALSE)*D185, "")</f>
        <v>613.125</v>
      </c>
    </row>
    <row r="186" spans="1:6" x14ac:dyDescent="0.25">
      <c r="A186" s="155">
        <v>45973</v>
      </c>
      <c r="B186" s="156">
        <v>9</v>
      </c>
      <c r="C186" s="129" t="s">
        <v>37</v>
      </c>
      <c r="D186" s="130">
        <v>1.1000000000000001</v>
      </c>
      <c r="E186" s="130">
        <v>8.6</v>
      </c>
      <c r="F186" s="42">
        <f>IFERROR(VLOOKUP(E186, Table2[],2, FALSE)*D186, "")</f>
        <v>70.95</v>
      </c>
    </row>
    <row r="187" spans="1:6" x14ac:dyDescent="0.25">
      <c r="A187" s="155">
        <v>45974</v>
      </c>
      <c r="B187" s="156">
        <v>4</v>
      </c>
      <c r="C187" s="129" t="s">
        <v>37</v>
      </c>
      <c r="D187" s="130">
        <v>15.6</v>
      </c>
      <c r="E187" s="130">
        <v>7</v>
      </c>
      <c r="F187" s="42">
        <f>IFERROR(VLOOKUP(E187, Table2[],2, FALSE)*D187, "")</f>
        <v>819</v>
      </c>
    </row>
    <row r="188" spans="1:6" x14ac:dyDescent="0.25">
      <c r="A188" s="155">
        <v>45968</v>
      </c>
      <c r="B188" s="156">
        <v>2</v>
      </c>
      <c r="C188" s="129" t="s">
        <v>37</v>
      </c>
      <c r="D188" s="130">
        <v>1.6</v>
      </c>
      <c r="E188" s="130">
        <v>10</v>
      </c>
      <c r="F188" s="42">
        <f>IFERROR(VLOOKUP(E188, Table2[],2, FALSE)*D188, "")</f>
        <v>120</v>
      </c>
    </row>
    <row r="189" spans="1:6" x14ac:dyDescent="0.25">
      <c r="A189" s="155">
        <v>45968</v>
      </c>
      <c r="B189" s="156">
        <v>11</v>
      </c>
      <c r="C189" s="129" t="s">
        <v>37</v>
      </c>
      <c r="D189" s="130">
        <v>1.7</v>
      </c>
      <c r="E189" s="130">
        <v>9.4</v>
      </c>
      <c r="F189" s="42">
        <f>IFERROR(VLOOKUP(E189, Table2[],2, FALSE)*D189, "")</f>
        <v>119.85</v>
      </c>
    </row>
    <row r="190" spans="1:6" x14ac:dyDescent="0.25">
      <c r="A190" s="155">
        <v>45974</v>
      </c>
      <c r="B190" s="156">
        <v>10</v>
      </c>
      <c r="C190" s="129" t="s">
        <v>37</v>
      </c>
      <c r="D190" s="130">
        <v>10</v>
      </c>
      <c r="E190" s="130">
        <v>8</v>
      </c>
      <c r="F190" s="42">
        <f>IFERROR(VLOOKUP(E190, Table2[],2, FALSE)*D190, "")</f>
        <v>600</v>
      </c>
    </row>
    <row r="191" spans="1:6" x14ac:dyDescent="0.25">
      <c r="A191" s="155">
        <v>45975</v>
      </c>
      <c r="B191" s="156">
        <v>6</v>
      </c>
      <c r="C191" s="129" t="s">
        <v>37</v>
      </c>
      <c r="D191" s="130">
        <v>13.5</v>
      </c>
      <c r="E191" s="130">
        <v>7.1</v>
      </c>
      <c r="F191" s="42">
        <f>IFERROR(VLOOKUP(E191, Table2[],2, FALSE)*D191, "")</f>
        <v>718.875</v>
      </c>
    </row>
    <row r="192" spans="1:6" x14ac:dyDescent="0.25">
      <c r="A192" s="155">
        <v>45975</v>
      </c>
      <c r="B192" s="156">
        <v>13</v>
      </c>
      <c r="C192" s="129" t="s">
        <v>37</v>
      </c>
      <c r="D192" s="130">
        <v>4.9000000000000004</v>
      </c>
      <c r="E192" s="130">
        <v>9.5</v>
      </c>
      <c r="F192" s="42">
        <f>IFERROR(VLOOKUP(E192, Table2[],2, FALSE)*D192, "")</f>
        <v>349.125</v>
      </c>
    </row>
    <row r="193" spans="1:6" x14ac:dyDescent="0.25">
      <c r="A193" s="155">
        <v>45975</v>
      </c>
      <c r="B193" s="156">
        <v>1</v>
      </c>
      <c r="C193" s="129" t="s">
        <v>37</v>
      </c>
      <c r="D193" s="130">
        <v>8.6</v>
      </c>
      <c r="E193" s="130">
        <v>8.3000000000000007</v>
      </c>
      <c r="F193" s="42">
        <f>IFERROR(VLOOKUP(E193, Table2[],2, FALSE)*D193, "")</f>
        <v>535.35</v>
      </c>
    </row>
    <row r="194" spans="1:6" x14ac:dyDescent="0.25">
      <c r="A194" s="155">
        <v>45975</v>
      </c>
      <c r="B194" s="156">
        <v>3</v>
      </c>
      <c r="C194" s="129" t="s">
        <v>37</v>
      </c>
      <c r="D194" s="130">
        <v>6.2</v>
      </c>
      <c r="E194" s="130">
        <v>6.8</v>
      </c>
      <c r="F194" s="42">
        <f>IFERROR(VLOOKUP(E194, Table2[],2, FALSE)*D194, "")</f>
        <v>316.2</v>
      </c>
    </row>
    <row r="195" spans="1:6" x14ac:dyDescent="0.25">
      <c r="A195" s="155">
        <v>45974</v>
      </c>
      <c r="B195" s="156">
        <v>9</v>
      </c>
      <c r="C195" s="129" t="s">
        <v>37</v>
      </c>
      <c r="D195" s="130">
        <v>1.2</v>
      </c>
      <c r="E195" s="130">
        <v>8.8000000000000007</v>
      </c>
      <c r="F195" s="42">
        <f>IFERROR(VLOOKUP(E195, Table2[],2, FALSE)*D195, "")</f>
        <v>79.2</v>
      </c>
    </row>
    <row r="196" spans="1:6" x14ac:dyDescent="0.25">
      <c r="A196" s="155">
        <v>45975</v>
      </c>
      <c r="B196" s="156">
        <v>8</v>
      </c>
      <c r="C196" s="129" t="s">
        <v>37</v>
      </c>
      <c r="D196" s="130">
        <v>7.6</v>
      </c>
      <c r="E196" s="130">
        <v>6.3</v>
      </c>
      <c r="F196" s="42">
        <f>IFERROR(VLOOKUP(E196, Table2[],2, FALSE)*D196, "")</f>
        <v>359.09999999999997</v>
      </c>
    </row>
    <row r="197" spans="1:6" x14ac:dyDescent="0.25">
      <c r="A197" s="155">
        <v>45974</v>
      </c>
      <c r="B197" s="156">
        <v>7</v>
      </c>
      <c r="C197" s="129" t="s">
        <v>37</v>
      </c>
      <c r="D197" s="130">
        <v>2.4</v>
      </c>
      <c r="E197" s="130">
        <v>8.5</v>
      </c>
      <c r="F197" s="42">
        <f>IFERROR(VLOOKUP(E197, Table2[],2, FALSE)*D197, "")</f>
        <v>153</v>
      </c>
    </row>
    <row r="198" spans="1:6" x14ac:dyDescent="0.25">
      <c r="A198" s="155">
        <v>45974</v>
      </c>
      <c r="B198" s="156">
        <v>16</v>
      </c>
      <c r="C198" s="129" t="s">
        <v>37</v>
      </c>
      <c r="D198" s="130">
        <v>3.3</v>
      </c>
      <c r="E198" s="130">
        <v>7</v>
      </c>
      <c r="F198" s="42">
        <f>IFERROR(VLOOKUP(E198, Table2[],2, FALSE)*D198, "")</f>
        <v>173.25</v>
      </c>
    </row>
    <row r="199" spans="1:6" x14ac:dyDescent="0.25">
      <c r="A199" s="155">
        <v>45975</v>
      </c>
      <c r="B199" s="156">
        <v>17</v>
      </c>
      <c r="C199" s="129" t="s">
        <v>37</v>
      </c>
      <c r="D199" s="130">
        <v>10</v>
      </c>
      <c r="E199" s="130">
        <v>6.4</v>
      </c>
      <c r="F199" s="42">
        <f>IFERROR(VLOOKUP(E199, Table2[],2, FALSE)*D199, "")</f>
        <v>480</v>
      </c>
    </row>
    <row r="200" spans="1:6" x14ac:dyDescent="0.25">
      <c r="A200" s="155">
        <v>45975</v>
      </c>
      <c r="B200" s="156">
        <v>4</v>
      </c>
      <c r="C200" s="129" t="s">
        <v>37</v>
      </c>
      <c r="D200" s="130">
        <v>15</v>
      </c>
      <c r="E200" s="130">
        <v>6.7</v>
      </c>
      <c r="F200" s="42">
        <f>IFERROR(VLOOKUP(E200, Table2[],2, FALSE)*D200, "")</f>
        <v>753.75</v>
      </c>
    </row>
    <row r="201" spans="1:6" x14ac:dyDescent="0.25">
      <c r="A201" s="155">
        <v>45975</v>
      </c>
      <c r="B201" s="156">
        <v>10</v>
      </c>
      <c r="C201" s="129" t="s">
        <v>37</v>
      </c>
      <c r="D201" s="130">
        <v>9</v>
      </c>
      <c r="E201" s="130">
        <v>9</v>
      </c>
      <c r="F201" s="42">
        <f>IFERROR(VLOOKUP(E201, Table2[],2, FALSE)*D201, "")</f>
        <v>607.5</v>
      </c>
    </row>
    <row r="202" spans="1:6" x14ac:dyDescent="0.25">
      <c r="A202" s="155">
        <v>45968</v>
      </c>
      <c r="B202" s="156">
        <v>11</v>
      </c>
      <c r="C202" s="129" t="s">
        <v>27</v>
      </c>
      <c r="D202" s="130">
        <v>2</v>
      </c>
      <c r="E202" s="130">
        <v>9.1</v>
      </c>
      <c r="F202" s="42">
        <f>IFERROR(VLOOKUP(E202, Table2[],2, FALSE)*D202, "")</f>
        <v>136.5</v>
      </c>
    </row>
    <row r="203" spans="1:6" x14ac:dyDescent="0.25">
      <c r="A203" s="155">
        <v>45976</v>
      </c>
      <c r="B203" s="156">
        <v>6</v>
      </c>
      <c r="C203" s="129" t="s">
        <v>37</v>
      </c>
      <c r="D203" s="130">
        <v>13.3</v>
      </c>
      <c r="E203" s="130">
        <v>7.4</v>
      </c>
      <c r="F203" s="42">
        <f>IFERROR(VLOOKUP(E203, Table2[],2, FALSE)*D203, "")</f>
        <v>738.15000000000009</v>
      </c>
    </row>
    <row r="204" spans="1:6" x14ac:dyDescent="0.25">
      <c r="A204" s="155">
        <v>45970</v>
      </c>
      <c r="B204" s="156">
        <v>5</v>
      </c>
      <c r="C204" s="129" t="s">
        <v>37</v>
      </c>
      <c r="D204" s="130">
        <v>2</v>
      </c>
      <c r="E204" s="130">
        <v>10</v>
      </c>
      <c r="F204" s="42">
        <f>IFERROR(VLOOKUP(E204, Table2[],2, FALSE)*D204, "")</f>
        <v>150</v>
      </c>
    </row>
    <row r="205" spans="1:6" x14ac:dyDescent="0.25">
      <c r="A205" s="155">
        <v>45975</v>
      </c>
      <c r="B205" s="156">
        <v>16</v>
      </c>
      <c r="C205" s="129" t="s">
        <v>37</v>
      </c>
      <c r="D205" s="130">
        <v>4.7</v>
      </c>
      <c r="E205" s="130">
        <v>8.1999999999999993</v>
      </c>
      <c r="F205" s="42">
        <f>IFERROR(VLOOKUP(E205, Table2[],2, FALSE)*D205, "")</f>
        <v>289.05</v>
      </c>
    </row>
    <row r="206" spans="1:6" x14ac:dyDescent="0.25">
      <c r="A206" s="155">
        <v>45975</v>
      </c>
      <c r="B206" s="156">
        <v>7</v>
      </c>
      <c r="C206" s="129" t="s">
        <v>37</v>
      </c>
      <c r="D206" s="130">
        <v>2.2000000000000002</v>
      </c>
      <c r="E206" s="130">
        <v>6.6</v>
      </c>
      <c r="F206" s="42">
        <f>IFERROR(VLOOKUP(E206, Table2[],2, FALSE)*D206, "")</f>
        <v>108.9</v>
      </c>
    </row>
    <row r="207" spans="1:6" x14ac:dyDescent="0.25">
      <c r="A207" s="155">
        <v>45976</v>
      </c>
      <c r="B207" s="156">
        <v>1</v>
      </c>
      <c r="C207" s="129" t="s">
        <v>37</v>
      </c>
      <c r="D207" s="130">
        <v>7.6</v>
      </c>
      <c r="E207" s="130">
        <v>8.1999999999999993</v>
      </c>
      <c r="F207" s="42">
        <f>IFERROR(VLOOKUP(E207, Table2[],2, FALSE)*D207, "")</f>
        <v>467.4</v>
      </c>
    </row>
    <row r="208" spans="1:6" x14ac:dyDescent="0.25">
      <c r="A208" s="155">
        <v>45976</v>
      </c>
      <c r="B208" s="156">
        <v>13</v>
      </c>
      <c r="C208" s="129" t="s">
        <v>37</v>
      </c>
      <c r="D208" s="130">
        <v>4.4000000000000004</v>
      </c>
      <c r="E208" s="130">
        <v>8.1</v>
      </c>
      <c r="F208" s="42">
        <f>IFERROR(VLOOKUP(E208, Table2[],2, FALSE)*D208, "")</f>
        <v>267.3</v>
      </c>
    </row>
    <row r="209" spans="1:6" x14ac:dyDescent="0.25">
      <c r="A209" s="155">
        <v>45969</v>
      </c>
      <c r="B209" s="156">
        <v>14</v>
      </c>
      <c r="C209" s="129" t="s">
        <v>37</v>
      </c>
      <c r="D209" s="130">
        <v>1.5</v>
      </c>
      <c r="E209" s="130">
        <v>8.6</v>
      </c>
      <c r="F209" s="42">
        <f>IFERROR(VLOOKUP(E209, Table2[],2, FALSE)*D209, "")</f>
        <v>96.75</v>
      </c>
    </row>
    <row r="210" spans="1:6" x14ac:dyDescent="0.25">
      <c r="A210" s="155">
        <v>45976</v>
      </c>
      <c r="B210" s="156">
        <v>3</v>
      </c>
      <c r="C210" s="129" t="s">
        <v>37</v>
      </c>
      <c r="D210" s="130">
        <v>5.2</v>
      </c>
      <c r="E210" s="130">
        <v>7.2</v>
      </c>
      <c r="F210" s="42">
        <f>IFERROR(VLOOKUP(E210, Table2[],2, FALSE)*D210, "")</f>
        <v>280.8</v>
      </c>
    </row>
    <row r="211" spans="1:6" x14ac:dyDescent="0.25">
      <c r="A211" s="155">
        <v>45976</v>
      </c>
      <c r="B211" s="156">
        <v>8</v>
      </c>
      <c r="C211" s="129" t="s">
        <v>37</v>
      </c>
      <c r="D211" s="130">
        <v>8.1</v>
      </c>
      <c r="E211" s="130">
        <v>6.2</v>
      </c>
      <c r="F211" s="42">
        <f>IFERROR(VLOOKUP(E211, Table2[],2, FALSE)*D211, "")</f>
        <v>376.65</v>
      </c>
    </row>
    <row r="212" spans="1:6" x14ac:dyDescent="0.25">
      <c r="A212" s="155">
        <v>45969</v>
      </c>
      <c r="B212" s="156">
        <v>12</v>
      </c>
      <c r="C212" s="129" t="s">
        <v>37</v>
      </c>
      <c r="D212" s="130">
        <v>2.4</v>
      </c>
      <c r="E212" s="130">
        <v>8.9</v>
      </c>
      <c r="F212" s="42">
        <f>IFERROR(VLOOKUP(E212, Table2[],2, FALSE)*D212, "")</f>
        <v>160.19999999999999</v>
      </c>
    </row>
    <row r="213" spans="1:6" x14ac:dyDescent="0.25">
      <c r="A213" s="155">
        <v>45976</v>
      </c>
      <c r="B213" s="156">
        <v>17</v>
      </c>
      <c r="C213" s="129" t="s">
        <v>37</v>
      </c>
      <c r="D213" s="130">
        <v>10.7</v>
      </c>
      <c r="E213" s="130">
        <v>7.8</v>
      </c>
      <c r="F213" s="42">
        <f>IFERROR(VLOOKUP(E213, Table2[],2, FALSE)*D213, "")</f>
        <v>625.94999999999993</v>
      </c>
    </row>
    <row r="214" spans="1:6" x14ac:dyDescent="0.25">
      <c r="A214" s="155">
        <v>45975</v>
      </c>
      <c r="B214" s="156">
        <v>9</v>
      </c>
      <c r="C214" s="129" t="s">
        <v>37</v>
      </c>
      <c r="D214" s="130">
        <v>1.1000000000000001</v>
      </c>
      <c r="E214" s="130">
        <v>8.1</v>
      </c>
      <c r="F214" s="42">
        <f>IFERROR(VLOOKUP(E214, Table2[],2, FALSE)*D214, "")</f>
        <v>66.825000000000003</v>
      </c>
    </row>
    <row r="215" spans="1:6" x14ac:dyDescent="0.25">
      <c r="A215" s="155">
        <v>45969</v>
      </c>
      <c r="B215" s="156">
        <v>15</v>
      </c>
      <c r="C215" s="129" t="s">
        <v>37</v>
      </c>
      <c r="D215" s="130">
        <v>13.1</v>
      </c>
      <c r="E215" s="130">
        <v>7.2</v>
      </c>
      <c r="F215" s="42">
        <f>IFERROR(VLOOKUP(E215, Table2[],2, FALSE)*D215, "")</f>
        <v>707.4</v>
      </c>
    </row>
    <row r="216" spans="1:6" x14ac:dyDescent="0.25">
      <c r="A216" s="155">
        <v>45976</v>
      </c>
      <c r="B216" s="156">
        <v>10</v>
      </c>
      <c r="C216" s="129" t="s">
        <v>37</v>
      </c>
      <c r="D216" s="130">
        <v>9.5</v>
      </c>
      <c r="E216" s="130">
        <v>7.9</v>
      </c>
      <c r="F216" s="42">
        <f>IFERROR(VLOOKUP(E216, Table2[],2, FALSE)*D216, "")</f>
        <v>562.875</v>
      </c>
    </row>
    <row r="217" spans="1:6" x14ac:dyDescent="0.25">
      <c r="A217" s="155">
        <v>45976</v>
      </c>
      <c r="B217" s="156">
        <v>4</v>
      </c>
      <c r="C217" s="129" t="s">
        <v>37</v>
      </c>
      <c r="D217" s="130">
        <v>15.6</v>
      </c>
      <c r="E217" s="130">
        <v>6.8</v>
      </c>
      <c r="F217" s="42">
        <f>IFERROR(VLOOKUP(E217, Table2[],2, FALSE)*D217, "")</f>
        <v>795.6</v>
      </c>
    </row>
    <row r="218" spans="1:6" x14ac:dyDescent="0.25">
      <c r="A218" s="155">
        <v>45976</v>
      </c>
      <c r="B218" s="156">
        <v>7</v>
      </c>
      <c r="C218" s="129" t="s">
        <v>37</v>
      </c>
      <c r="D218" s="130">
        <v>2.2000000000000002</v>
      </c>
      <c r="E218" s="130">
        <v>9</v>
      </c>
      <c r="F218" s="42">
        <f>IFERROR(VLOOKUP(E218, Table2[],2, FALSE)*D218, "")</f>
        <v>148.5</v>
      </c>
    </row>
    <row r="219" spans="1:6" x14ac:dyDescent="0.25">
      <c r="A219" s="221">
        <v>45977</v>
      </c>
      <c r="B219" s="222">
        <v>6</v>
      </c>
      <c r="C219" s="223" t="s">
        <v>37</v>
      </c>
      <c r="D219" s="224">
        <v>13.6</v>
      </c>
      <c r="E219" s="224">
        <v>7.4</v>
      </c>
      <c r="F219" s="42">
        <f>IFERROR(VLOOKUP(E219, Table2[],2, FALSE)*D219, "")</f>
        <v>754.8</v>
      </c>
    </row>
    <row r="220" spans="1:6" x14ac:dyDescent="0.25">
      <c r="A220" s="221">
        <v>45977</v>
      </c>
      <c r="B220" s="222">
        <v>8</v>
      </c>
      <c r="C220" s="223" t="s">
        <v>37</v>
      </c>
      <c r="D220" s="224">
        <v>7.3</v>
      </c>
      <c r="E220" s="224">
        <v>6.3</v>
      </c>
      <c r="F220" s="42">
        <f>IFERROR(VLOOKUP(E220, Table2[],2, FALSE)*D220, "")</f>
        <v>344.92500000000001</v>
      </c>
    </row>
    <row r="221" spans="1:6" x14ac:dyDescent="0.25">
      <c r="A221" s="221">
        <v>45977</v>
      </c>
      <c r="B221" s="222">
        <v>3</v>
      </c>
      <c r="C221" s="223" t="s">
        <v>37</v>
      </c>
      <c r="D221" s="224">
        <v>5.9</v>
      </c>
      <c r="E221" s="224">
        <v>7</v>
      </c>
      <c r="F221" s="42">
        <f>IFERROR(VLOOKUP(E221, Table2[],2, FALSE)*D221, "")</f>
        <v>309.75</v>
      </c>
    </row>
    <row r="222" spans="1:6" x14ac:dyDescent="0.25">
      <c r="A222" s="155">
        <v>45962</v>
      </c>
      <c r="B222" s="156">
        <v>1</v>
      </c>
      <c r="C222" s="129" t="s">
        <v>27</v>
      </c>
      <c r="D222" s="130">
        <v>4.0999999999999996</v>
      </c>
      <c r="E222" s="130">
        <v>5.5</v>
      </c>
      <c r="F222" s="42">
        <f>IFERROR(VLOOKUP(E222, Table2[],2, FALSE)*D222, "")</f>
        <v>169.12499999999997</v>
      </c>
    </row>
    <row r="223" spans="1:6" x14ac:dyDescent="0.25">
      <c r="A223" s="221">
        <v>45977</v>
      </c>
      <c r="B223" s="222">
        <v>13</v>
      </c>
      <c r="C223" s="223" t="s">
        <v>37</v>
      </c>
      <c r="D223" s="224">
        <v>3.1</v>
      </c>
      <c r="E223" s="224">
        <v>7.7</v>
      </c>
      <c r="F223" s="42">
        <f>IFERROR(VLOOKUP(E223, Table2[],2, FALSE)*D223, "")</f>
        <v>179.02500000000001</v>
      </c>
    </row>
    <row r="224" spans="1:6" x14ac:dyDescent="0.25">
      <c r="A224" s="155">
        <v>45976</v>
      </c>
      <c r="B224" s="156">
        <v>16</v>
      </c>
      <c r="C224" s="129" t="s">
        <v>37</v>
      </c>
      <c r="D224" s="130">
        <v>3.7</v>
      </c>
      <c r="E224" s="130">
        <v>8.4</v>
      </c>
      <c r="F224" s="42">
        <f>IFERROR(VLOOKUP(E224, Table2[],2, FALSE)*D224, "")</f>
        <v>233.10000000000002</v>
      </c>
    </row>
    <row r="225" spans="1:6" x14ac:dyDescent="0.25">
      <c r="A225" s="155">
        <v>45976</v>
      </c>
      <c r="B225" s="156">
        <v>9</v>
      </c>
      <c r="C225" s="129" t="s">
        <v>37</v>
      </c>
      <c r="D225" s="130">
        <v>1</v>
      </c>
      <c r="E225" s="130">
        <v>8.5</v>
      </c>
      <c r="F225" s="42">
        <f>IFERROR(VLOOKUP(E225, Table2[],2, FALSE)*D225, "")</f>
        <v>63.75</v>
      </c>
    </row>
    <row r="226" spans="1:6" x14ac:dyDescent="0.25">
      <c r="A226" s="221">
        <v>45977</v>
      </c>
      <c r="B226" s="222">
        <v>17</v>
      </c>
      <c r="C226" s="223" t="s">
        <v>37</v>
      </c>
      <c r="D226" s="224">
        <v>8.3000000000000007</v>
      </c>
      <c r="E226" s="224">
        <v>6.2</v>
      </c>
      <c r="F226" s="42">
        <f>IFERROR(VLOOKUP(E226, Table2[],2, FALSE)*D226, "")</f>
        <v>385.95000000000005</v>
      </c>
    </row>
    <row r="227" spans="1:6" x14ac:dyDescent="0.25">
      <c r="A227" s="221">
        <v>45977</v>
      </c>
      <c r="B227" s="222">
        <v>10</v>
      </c>
      <c r="C227" s="223" t="s">
        <v>37</v>
      </c>
      <c r="D227" s="224">
        <v>9.1</v>
      </c>
      <c r="E227" s="224">
        <v>8.1999999999999993</v>
      </c>
      <c r="F227" s="42">
        <f>IFERROR(VLOOKUP(E227, Table2[],2, FALSE)*D227, "")</f>
        <v>559.65</v>
      </c>
    </row>
    <row r="228" spans="1:6" x14ac:dyDescent="0.25">
      <c r="A228" s="221">
        <v>45977</v>
      </c>
      <c r="B228" s="222">
        <v>4</v>
      </c>
      <c r="C228" s="223" t="s">
        <v>37</v>
      </c>
      <c r="D228" s="224">
        <v>15.8</v>
      </c>
      <c r="E228" s="224">
        <v>6.8</v>
      </c>
      <c r="F228" s="42">
        <f>IFERROR(VLOOKUP(E228, Table2[],2, FALSE)*D228, "")</f>
        <v>805.80000000000007</v>
      </c>
    </row>
    <row r="229" spans="1:6" x14ac:dyDescent="0.25">
      <c r="A229" s="155">
        <v>45969</v>
      </c>
      <c r="B229" s="156">
        <v>11</v>
      </c>
      <c r="C229" s="129" t="s">
        <v>27</v>
      </c>
      <c r="D229" s="130">
        <v>2</v>
      </c>
      <c r="E229" s="130">
        <v>8.9</v>
      </c>
      <c r="F229" s="42">
        <f>IFERROR(VLOOKUP(E229, Table2[],2, FALSE)*D229, "")</f>
        <v>133.5</v>
      </c>
    </row>
    <row r="230" spans="1:6" x14ac:dyDescent="0.25">
      <c r="A230" s="221">
        <v>45978</v>
      </c>
      <c r="B230" s="222">
        <v>6</v>
      </c>
      <c r="C230" s="223" t="s">
        <v>37</v>
      </c>
      <c r="D230" s="224">
        <v>12.4</v>
      </c>
      <c r="E230" s="224">
        <v>7.4</v>
      </c>
      <c r="F230" s="42">
        <f>IFERROR(VLOOKUP(E230, Table2[],2, FALSE)*D230, "")</f>
        <v>688.2</v>
      </c>
    </row>
    <row r="231" spans="1:6" x14ac:dyDescent="0.25">
      <c r="A231" s="155">
        <v>45963</v>
      </c>
      <c r="B231" s="156">
        <v>1</v>
      </c>
      <c r="C231" s="129" t="s">
        <v>27</v>
      </c>
      <c r="D231" s="130">
        <v>3.3</v>
      </c>
      <c r="E231" s="130">
        <v>5.5</v>
      </c>
      <c r="F231" s="42">
        <f>IFERROR(VLOOKUP(E231, Table2[],2, FALSE)*D231, "")</f>
        <v>136.125</v>
      </c>
    </row>
    <row r="232" spans="1:6" x14ac:dyDescent="0.25">
      <c r="A232" s="221">
        <v>45977</v>
      </c>
      <c r="B232" s="222">
        <v>7</v>
      </c>
      <c r="C232" s="223" t="s">
        <v>37</v>
      </c>
      <c r="D232" s="224">
        <v>2.9</v>
      </c>
      <c r="E232" s="224">
        <v>7</v>
      </c>
      <c r="F232" s="42">
        <f>IFERROR(VLOOKUP(E232, Table2[],2, FALSE)*D232, "")</f>
        <v>152.25</v>
      </c>
    </row>
    <row r="233" spans="1:6" x14ac:dyDescent="0.25">
      <c r="A233" s="155">
        <v>45970</v>
      </c>
      <c r="B233" s="156">
        <v>2</v>
      </c>
      <c r="C233" s="129" t="s">
        <v>37</v>
      </c>
      <c r="D233" s="130">
        <v>1.3</v>
      </c>
      <c r="E233" s="130">
        <v>9.1999999999999993</v>
      </c>
      <c r="F233" s="42">
        <f>IFERROR(VLOOKUP(E233, Table2[],2, FALSE)*D233, "")</f>
        <v>89.7</v>
      </c>
    </row>
    <row r="234" spans="1:6" x14ac:dyDescent="0.25">
      <c r="A234" s="155">
        <v>45971</v>
      </c>
      <c r="B234" s="156">
        <v>5</v>
      </c>
      <c r="C234" s="129" t="s">
        <v>37</v>
      </c>
      <c r="D234" s="130">
        <v>1.2</v>
      </c>
      <c r="E234" s="130">
        <v>10</v>
      </c>
      <c r="F234" s="42">
        <f>IFERROR(VLOOKUP(E234, Table2[],2, FALSE)*D234, "")</f>
        <v>90</v>
      </c>
    </row>
    <row r="235" spans="1:6" x14ac:dyDescent="0.25">
      <c r="A235" s="221">
        <v>45977</v>
      </c>
      <c r="B235" s="222">
        <v>16</v>
      </c>
      <c r="C235" s="223" t="s">
        <v>37</v>
      </c>
      <c r="D235" s="224">
        <v>1.9</v>
      </c>
      <c r="E235" s="224">
        <v>6.8</v>
      </c>
      <c r="F235" s="42">
        <f>IFERROR(VLOOKUP(E235, Table2[],2, FALSE)*D235, "")</f>
        <v>96.899999999999991</v>
      </c>
    </row>
    <row r="236" spans="1:6" x14ac:dyDescent="0.25">
      <c r="A236" s="221">
        <v>45978</v>
      </c>
      <c r="B236" s="222">
        <v>8</v>
      </c>
      <c r="C236" s="223" t="s">
        <v>37</v>
      </c>
      <c r="D236" s="224">
        <v>6.9</v>
      </c>
      <c r="E236" s="224">
        <v>6.4</v>
      </c>
      <c r="F236" s="42">
        <f>IFERROR(VLOOKUP(E236, Table2[],2, FALSE)*D236, "")</f>
        <v>331.20000000000005</v>
      </c>
    </row>
    <row r="237" spans="1:6" x14ac:dyDescent="0.25">
      <c r="A237" s="221">
        <v>45978</v>
      </c>
      <c r="B237" s="222">
        <v>13</v>
      </c>
      <c r="C237" s="223" t="s">
        <v>37</v>
      </c>
      <c r="D237" s="224">
        <v>5.2</v>
      </c>
      <c r="E237" s="224">
        <v>9</v>
      </c>
      <c r="F237" s="42">
        <f>IFERROR(VLOOKUP(E237, Table2[],2, FALSE)*D237, "")</f>
        <v>351</v>
      </c>
    </row>
    <row r="238" spans="1:6" x14ac:dyDescent="0.25">
      <c r="A238" s="155">
        <v>45970</v>
      </c>
      <c r="B238" s="156">
        <v>14</v>
      </c>
      <c r="C238" s="129" t="s">
        <v>37</v>
      </c>
      <c r="D238" s="130">
        <v>1.4</v>
      </c>
      <c r="E238" s="130">
        <v>8.5</v>
      </c>
      <c r="F238" s="42">
        <f>IFERROR(VLOOKUP(E238, Table2[],2, FALSE)*D238, "")</f>
        <v>89.25</v>
      </c>
    </row>
    <row r="239" spans="1:6" x14ac:dyDescent="0.25">
      <c r="A239" s="221">
        <v>45978</v>
      </c>
      <c r="B239" s="222">
        <v>3</v>
      </c>
      <c r="C239" s="223" t="s">
        <v>37</v>
      </c>
      <c r="D239" s="224">
        <v>5</v>
      </c>
      <c r="E239" s="224">
        <v>7.9</v>
      </c>
      <c r="F239" s="42">
        <f>IFERROR(VLOOKUP(E239, Table2[],2, FALSE)*D239, "")</f>
        <v>296.25</v>
      </c>
    </row>
    <row r="240" spans="1:6" x14ac:dyDescent="0.25">
      <c r="A240" s="221">
        <v>45977</v>
      </c>
      <c r="B240" s="222">
        <v>9</v>
      </c>
      <c r="C240" s="223" t="s">
        <v>37</v>
      </c>
      <c r="D240" s="224">
        <v>1</v>
      </c>
      <c r="E240" s="224">
        <v>8.3000000000000007</v>
      </c>
      <c r="F240" s="42">
        <f>IFERROR(VLOOKUP(E240, Table2[],2, FALSE)*D240, "")</f>
        <v>62.25</v>
      </c>
    </row>
    <row r="241" spans="1:6" x14ac:dyDescent="0.25">
      <c r="A241" s="221">
        <v>45978</v>
      </c>
      <c r="B241" s="222">
        <v>17</v>
      </c>
      <c r="C241" s="223" t="s">
        <v>37</v>
      </c>
      <c r="D241" s="224">
        <v>9.9</v>
      </c>
      <c r="E241" s="224">
        <v>7.4</v>
      </c>
      <c r="F241" s="42">
        <f>IFERROR(VLOOKUP(E241, Table2[],2, FALSE)*D241, "")</f>
        <v>549.45000000000005</v>
      </c>
    </row>
    <row r="242" spans="1:6" x14ac:dyDescent="0.25">
      <c r="A242" s="155">
        <v>45970</v>
      </c>
      <c r="B242" s="156">
        <v>12</v>
      </c>
      <c r="C242" s="129" t="s">
        <v>37</v>
      </c>
      <c r="D242" s="130">
        <v>2.2999999999999998</v>
      </c>
      <c r="E242" s="130">
        <v>8.1999999999999993</v>
      </c>
      <c r="F242" s="42">
        <f>IFERROR(VLOOKUP(E242, Table2[],2, FALSE)*D242, "")</f>
        <v>141.44999999999999</v>
      </c>
    </row>
    <row r="243" spans="1:6" x14ac:dyDescent="0.25">
      <c r="A243" s="155">
        <v>45970</v>
      </c>
      <c r="B243" s="156">
        <v>15</v>
      </c>
      <c r="C243" s="129" t="s">
        <v>37</v>
      </c>
      <c r="D243" s="130">
        <v>10.7</v>
      </c>
      <c r="E243" s="130">
        <v>7.4</v>
      </c>
      <c r="F243" s="42">
        <f>IFERROR(VLOOKUP(E243, Table2[],2, FALSE)*D243, "")</f>
        <v>593.84999999999991</v>
      </c>
    </row>
    <row r="244" spans="1:6" x14ac:dyDescent="0.25">
      <c r="A244" s="221">
        <v>45978</v>
      </c>
      <c r="B244" s="222">
        <v>10</v>
      </c>
      <c r="C244" s="223" t="s">
        <v>37</v>
      </c>
      <c r="D244" s="224">
        <v>9.3000000000000007</v>
      </c>
      <c r="E244" s="224">
        <v>8.8000000000000007</v>
      </c>
      <c r="F244" s="42">
        <f>IFERROR(VLOOKUP(E244, Table2[],2, FALSE)*D244, "")</f>
        <v>613.80000000000007</v>
      </c>
    </row>
    <row r="245" spans="1:6" x14ac:dyDescent="0.25">
      <c r="A245" s="155">
        <v>45970</v>
      </c>
      <c r="B245" s="156">
        <v>11</v>
      </c>
      <c r="C245" s="129" t="s">
        <v>37</v>
      </c>
      <c r="D245" s="130">
        <v>1.7</v>
      </c>
      <c r="E245" s="130">
        <v>9.4</v>
      </c>
      <c r="F245" s="42">
        <f>IFERROR(VLOOKUP(E245, Table2[],2, FALSE)*D245, "")</f>
        <v>119.85</v>
      </c>
    </row>
    <row r="246" spans="1:6" x14ac:dyDescent="0.25">
      <c r="A246" s="221">
        <v>45978</v>
      </c>
      <c r="B246" s="222">
        <v>4</v>
      </c>
      <c r="C246" s="223" t="s">
        <v>37</v>
      </c>
      <c r="D246" s="224">
        <v>16.100000000000001</v>
      </c>
      <c r="E246" s="224">
        <v>6.6</v>
      </c>
      <c r="F246" s="42">
        <f>IFERROR(VLOOKUP(E246, Table2[],2, FALSE)*D246, "")</f>
        <v>796.95</v>
      </c>
    </row>
    <row r="247" spans="1:6" x14ac:dyDescent="0.25">
      <c r="A247" s="221">
        <v>45979</v>
      </c>
      <c r="B247" s="222">
        <v>6</v>
      </c>
      <c r="C247" s="223" t="s">
        <v>37</v>
      </c>
      <c r="D247" s="224">
        <v>12.6</v>
      </c>
      <c r="E247" s="224">
        <v>7.3</v>
      </c>
      <c r="F247" s="42">
        <f>IFERROR(VLOOKUP(E247, Table2[],2, FALSE)*D247, "")</f>
        <v>689.85</v>
      </c>
    </row>
    <row r="248" spans="1:6" x14ac:dyDescent="0.25">
      <c r="A248" s="221">
        <v>45978</v>
      </c>
      <c r="B248" s="222">
        <v>7</v>
      </c>
      <c r="C248" s="223" t="s">
        <v>37</v>
      </c>
      <c r="D248" s="224">
        <v>2.8</v>
      </c>
      <c r="E248" s="224">
        <v>7.4</v>
      </c>
      <c r="F248" s="42">
        <f>IFERROR(VLOOKUP(E248, Table2[],2, FALSE)*D248, "")</f>
        <v>155.39999999999998</v>
      </c>
    </row>
    <row r="249" spans="1:6" x14ac:dyDescent="0.25">
      <c r="A249" s="155">
        <v>45964</v>
      </c>
      <c r="B249" s="156">
        <v>1</v>
      </c>
      <c r="C249" s="129" t="s">
        <v>27</v>
      </c>
      <c r="D249" s="130">
        <v>3.8</v>
      </c>
      <c r="E249" s="130">
        <v>5.5</v>
      </c>
      <c r="F249" s="42">
        <f>IFERROR(VLOOKUP(E249, Table2[],2, FALSE)*D249, "")</f>
        <v>156.75</v>
      </c>
    </row>
    <row r="250" spans="1:6" x14ac:dyDescent="0.25">
      <c r="A250" s="221">
        <v>45979</v>
      </c>
      <c r="B250" s="222">
        <v>3</v>
      </c>
      <c r="C250" s="223" t="s">
        <v>37</v>
      </c>
      <c r="D250" s="224">
        <v>5.3</v>
      </c>
      <c r="E250" s="224">
        <v>7.4</v>
      </c>
      <c r="F250" s="42">
        <f>IFERROR(VLOOKUP(E250, Table2[],2, FALSE)*D250, "")</f>
        <v>294.14999999999998</v>
      </c>
    </row>
    <row r="251" spans="1:6" x14ac:dyDescent="0.25">
      <c r="A251" s="221">
        <v>45979</v>
      </c>
      <c r="B251" s="222">
        <v>13</v>
      </c>
      <c r="C251" s="223" t="s">
        <v>37</v>
      </c>
      <c r="D251" s="224">
        <v>5</v>
      </c>
      <c r="E251" s="224">
        <v>8</v>
      </c>
      <c r="F251" s="42">
        <f>IFERROR(VLOOKUP(E251, Table2[],2, FALSE)*D251, "")</f>
        <v>300</v>
      </c>
    </row>
    <row r="252" spans="1:6" x14ac:dyDescent="0.25">
      <c r="A252" s="221">
        <v>45978</v>
      </c>
      <c r="B252" s="222">
        <v>9</v>
      </c>
      <c r="C252" s="223" t="s">
        <v>37</v>
      </c>
      <c r="D252" s="224">
        <v>1</v>
      </c>
      <c r="E252" s="224">
        <v>10</v>
      </c>
      <c r="F252" s="42">
        <f>IFERROR(VLOOKUP(E252, Table2[],2, FALSE)*D252, "")</f>
        <v>75</v>
      </c>
    </row>
    <row r="253" spans="1:6" x14ac:dyDescent="0.25">
      <c r="A253" s="221">
        <v>45978</v>
      </c>
      <c r="B253" s="222">
        <v>16</v>
      </c>
      <c r="C253" s="223" t="s">
        <v>37</v>
      </c>
      <c r="D253" s="224">
        <v>4.0999999999999996</v>
      </c>
      <c r="E253" s="224">
        <v>8.6</v>
      </c>
      <c r="F253" s="42">
        <f>IFERROR(VLOOKUP(E253, Table2[],2, FALSE)*D253, "")</f>
        <v>264.45</v>
      </c>
    </row>
    <row r="254" spans="1:6" x14ac:dyDescent="0.25">
      <c r="A254" s="221">
        <v>45979</v>
      </c>
      <c r="B254" s="222">
        <v>8</v>
      </c>
      <c r="C254" s="223" t="s">
        <v>37</v>
      </c>
      <c r="D254" s="224">
        <v>7</v>
      </c>
      <c r="E254" s="224">
        <v>6</v>
      </c>
      <c r="F254" s="42">
        <f>IFERROR(VLOOKUP(E254, Table2[],2, FALSE)*D254, "")</f>
        <v>315</v>
      </c>
    </row>
    <row r="255" spans="1:6" x14ac:dyDescent="0.25">
      <c r="A255" s="221">
        <v>45979</v>
      </c>
      <c r="B255" s="222">
        <v>17</v>
      </c>
      <c r="C255" s="223" t="s">
        <v>37</v>
      </c>
      <c r="D255" s="224">
        <v>9</v>
      </c>
      <c r="E255" s="224">
        <v>7</v>
      </c>
      <c r="F255" s="42">
        <f>IFERROR(VLOOKUP(E255, Table2[],2, FALSE)*D255, "")</f>
        <v>472.5</v>
      </c>
    </row>
    <row r="256" spans="1:6" x14ac:dyDescent="0.25">
      <c r="A256" s="221">
        <v>45979</v>
      </c>
      <c r="B256" s="222">
        <v>4</v>
      </c>
      <c r="C256" s="223" t="s">
        <v>37</v>
      </c>
      <c r="D256" s="224">
        <v>15.6</v>
      </c>
      <c r="E256" s="224">
        <v>6.6</v>
      </c>
      <c r="F256" s="42">
        <f>IFERROR(VLOOKUP(E256, Table2[],2, FALSE)*D256, "")</f>
        <v>772.19999999999993</v>
      </c>
    </row>
    <row r="257" spans="1:6" x14ac:dyDescent="0.25">
      <c r="A257" s="221">
        <v>45979</v>
      </c>
      <c r="B257" s="222">
        <v>10</v>
      </c>
      <c r="C257" s="223" t="s">
        <v>37</v>
      </c>
      <c r="D257" s="224">
        <v>8.5</v>
      </c>
      <c r="E257" s="224">
        <v>8.4</v>
      </c>
      <c r="F257" s="42">
        <f>IFERROR(VLOOKUP(E257, Table2[],2, FALSE)*D257, "")</f>
        <v>535.5</v>
      </c>
    </row>
    <row r="258" spans="1:6" x14ac:dyDescent="0.25">
      <c r="A258" s="155">
        <v>45970</v>
      </c>
      <c r="B258" s="156">
        <v>11</v>
      </c>
      <c r="C258" s="129" t="s">
        <v>27</v>
      </c>
      <c r="D258" s="130">
        <v>2</v>
      </c>
      <c r="E258" s="130">
        <v>9</v>
      </c>
      <c r="F258" s="42">
        <f>IFERROR(VLOOKUP(E258, Table2[],2, FALSE)*D258, "")</f>
        <v>135</v>
      </c>
    </row>
    <row r="259" spans="1:6" x14ac:dyDescent="0.25">
      <c r="A259" s="221">
        <v>45980</v>
      </c>
      <c r="B259" s="222">
        <v>6</v>
      </c>
      <c r="C259" s="223" t="s">
        <v>37</v>
      </c>
      <c r="D259" s="224">
        <v>12.8</v>
      </c>
      <c r="E259" s="224">
        <v>7.3</v>
      </c>
      <c r="F259" s="42">
        <f>IFERROR(VLOOKUP(E259, Table2[],2, FALSE)*D259, "")</f>
        <v>700.80000000000007</v>
      </c>
    </row>
    <row r="260" spans="1:6" x14ac:dyDescent="0.25">
      <c r="A260" s="221">
        <v>45980</v>
      </c>
      <c r="B260" s="222">
        <v>8</v>
      </c>
      <c r="C260" s="223" t="s">
        <v>37</v>
      </c>
      <c r="D260" s="224">
        <v>7.6</v>
      </c>
      <c r="E260" s="224">
        <v>6.4</v>
      </c>
      <c r="F260" s="42">
        <f>IFERROR(VLOOKUP(E260, Table2[],2, FALSE)*D260, "")</f>
        <v>364.79999999999995</v>
      </c>
    </row>
    <row r="261" spans="1:6" x14ac:dyDescent="0.25">
      <c r="A261" s="221">
        <v>45979</v>
      </c>
      <c r="B261" s="222">
        <v>16</v>
      </c>
      <c r="C261" s="223" t="s">
        <v>37</v>
      </c>
      <c r="D261" s="224">
        <v>2.5</v>
      </c>
      <c r="E261" s="224">
        <v>6.4</v>
      </c>
      <c r="F261" s="42">
        <f>IFERROR(VLOOKUP(E261, Table2[],2, FALSE)*D261, "")</f>
        <v>120</v>
      </c>
    </row>
    <row r="262" spans="1:6" x14ac:dyDescent="0.25">
      <c r="A262" s="221">
        <v>45979</v>
      </c>
      <c r="B262" s="222">
        <v>7</v>
      </c>
      <c r="C262" s="223" t="s">
        <v>37</v>
      </c>
      <c r="D262" s="224">
        <v>2.7</v>
      </c>
      <c r="E262" s="224">
        <v>6.9</v>
      </c>
      <c r="F262" s="42">
        <f>IFERROR(VLOOKUP(E262, Table2[],2, FALSE)*D262, "")</f>
        <v>139.72500000000002</v>
      </c>
    </row>
    <row r="263" spans="1:6" x14ac:dyDescent="0.25">
      <c r="A263" s="155">
        <v>45971</v>
      </c>
      <c r="B263" s="156">
        <v>12</v>
      </c>
      <c r="C263" s="129" t="s">
        <v>37</v>
      </c>
      <c r="D263" s="130">
        <v>2.9</v>
      </c>
      <c r="E263" s="130">
        <v>6.7</v>
      </c>
      <c r="F263" s="42">
        <f>IFERROR(VLOOKUP(E263, Table2[],2, FALSE)*D263, "")</f>
        <v>145.72499999999999</v>
      </c>
    </row>
    <row r="264" spans="1:6" x14ac:dyDescent="0.25">
      <c r="A264" s="155">
        <v>45972</v>
      </c>
      <c r="B264" s="156">
        <v>5</v>
      </c>
      <c r="C264" s="129" t="s">
        <v>37</v>
      </c>
      <c r="D264" s="130">
        <v>2.6</v>
      </c>
      <c r="E264" s="130">
        <v>10</v>
      </c>
      <c r="F264" s="42">
        <f>IFERROR(VLOOKUP(E264, Table2[],2, FALSE)*D264, "")</f>
        <v>195</v>
      </c>
    </row>
    <row r="265" spans="1:6" x14ac:dyDescent="0.25">
      <c r="A265" s="221">
        <v>45980</v>
      </c>
      <c r="B265" s="222">
        <v>3</v>
      </c>
      <c r="C265" s="223" t="s">
        <v>37</v>
      </c>
      <c r="D265" s="224">
        <v>5</v>
      </c>
      <c r="E265" s="224">
        <v>7.5</v>
      </c>
      <c r="F265" s="42">
        <f>IFERROR(VLOOKUP(E265, Table2[],2, FALSE)*D265, "")</f>
        <v>281.25</v>
      </c>
    </row>
    <row r="266" spans="1:6" x14ac:dyDescent="0.25">
      <c r="A266" s="221">
        <v>45979</v>
      </c>
      <c r="B266" s="222">
        <v>9</v>
      </c>
      <c r="C266" s="223" t="s">
        <v>37</v>
      </c>
      <c r="D266" s="224">
        <v>1.1000000000000001</v>
      </c>
      <c r="E266" s="224">
        <v>9.4</v>
      </c>
      <c r="F266" s="42">
        <f>IFERROR(VLOOKUP(E266, Table2[],2, FALSE)*D266, "")</f>
        <v>77.550000000000011</v>
      </c>
    </row>
    <row r="267" spans="1:6" x14ac:dyDescent="0.25">
      <c r="A267" s="221">
        <v>45980</v>
      </c>
      <c r="B267" s="222">
        <v>13</v>
      </c>
      <c r="C267" s="223" t="s">
        <v>37</v>
      </c>
      <c r="D267" s="224">
        <v>4.2</v>
      </c>
      <c r="E267" s="224">
        <v>8.3000000000000007</v>
      </c>
      <c r="F267" s="42">
        <f>IFERROR(VLOOKUP(E267, Table2[],2, FALSE)*D267, "")</f>
        <v>261.45</v>
      </c>
    </row>
    <row r="268" spans="1:6" x14ac:dyDescent="0.25">
      <c r="A268" s="155">
        <v>45971</v>
      </c>
      <c r="B268" s="156">
        <v>14</v>
      </c>
      <c r="C268" s="129" t="s">
        <v>37</v>
      </c>
      <c r="D268" s="130">
        <v>1.4</v>
      </c>
      <c r="E268" s="130">
        <v>8.3000000000000007</v>
      </c>
      <c r="F268" s="42">
        <f>IFERROR(VLOOKUP(E268, Table2[],2, FALSE)*D268, "")</f>
        <v>87.149999999999991</v>
      </c>
    </row>
    <row r="269" spans="1:6" x14ac:dyDescent="0.25">
      <c r="A269" s="155">
        <v>45965</v>
      </c>
      <c r="B269" s="156">
        <v>1</v>
      </c>
      <c r="C269" s="129" t="s">
        <v>27</v>
      </c>
      <c r="D269" s="130">
        <v>3.8</v>
      </c>
      <c r="E269" s="130">
        <v>5.6</v>
      </c>
      <c r="F269" s="42">
        <f>IFERROR(VLOOKUP(E269, Table2[],2, FALSE)*D269, "")</f>
        <v>159.6</v>
      </c>
    </row>
    <row r="270" spans="1:6" x14ac:dyDescent="0.25">
      <c r="A270" s="221">
        <v>45980</v>
      </c>
      <c r="B270" s="222">
        <v>17</v>
      </c>
      <c r="C270" s="223" t="s">
        <v>37</v>
      </c>
      <c r="D270" s="224">
        <v>10.1</v>
      </c>
      <c r="E270" s="224">
        <v>6.4</v>
      </c>
      <c r="F270" s="42">
        <f>IFERROR(VLOOKUP(E270, Table2[],2, FALSE)*D270, "")</f>
        <v>484.79999999999995</v>
      </c>
    </row>
    <row r="271" spans="1:6" x14ac:dyDescent="0.25">
      <c r="A271" s="155">
        <v>45971</v>
      </c>
      <c r="B271" s="156">
        <v>2</v>
      </c>
      <c r="C271" s="129" t="s">
        <v>37</v>
      </c>
      <c r="D271" s="130">
        <v>1.4</v>
      </c>
      <c r="E271" s="130">
        <v>10</v>
      </c>
      <c r="F271" s="42">
        <f>IFERROR(VLOOKUP(E271, Table2[],2, FALSE)*D271, "")</f>
        <v>105</v>
      </c>
    </row>
    <row r="272" spans="1:6" x14ac:dyDescent="0.25">
      <c r="A272" s="221">
        <v>45980</v>
      </c>
      <c r="B272" s="222">
        <v>4</v>
      </c>
      <c r="C272" s="223" t="s">
        <v>37</v>
      </c>
      <c r="D272" s="224">
        <v>15.7</v>
      </c>
      <c r="E272" s="224">
        <v>6.5</v>
      </c>
      <c r="F272" s="42">
        <f>IFERROR(VLOOKUP(E272, Table2[],2, FALSE)*D272, "")</f>
        <v>765.375</v>
      </c>
    </row>
    <row r="273" spans="1:6" x14ac:dyDescent="0.25">
      <c r="A273" s="155">
        <v>45971</v>
      </c>
      <c r="B273" s="156">
        <v>15</v>
      </c>
      <c r="C273" s="129" t="s">
        <v>37</v>
      </c>
      <c r="D273" s="130">
        <v>9.6</v>
      </c>
      <c r="E273" s="130">
        <v>7.5</v>
      </c>
      <c r="F273" s="42">
        <f>IFERROR(VLOOKUP(E273, Table2[],2, FALSE)*D273, "")</f>
        <v>540</v>
      </c>
    </row>
    <row r="274" spans="1:6" x14ac:dyDescent="0.25">
      <c r="A274" s="221">
        <v>45980</v>
      </c>
      <c r="B274" s="222">
        <v>10</v>
      </c>
      <c r="C274" s="223" t="s">
        <v>37</v>
      </c>
      <c r="D274" s="224">
        <v>9.3000000000000007</v>
      </c>
      <c r="E274" s="224">
        <v>8.1999999999999993</v>
      </c>
      <c r="F274" s="42">
        <f>IFERROR(VLOOKUP(E274, Table2[],2, FALSE)*D274, "")</f>
        <v>571.95000000000005</v>
      </c>
    </row>
    <row r="275" spans="1:6" x14ac:dyDescent="0.25">
      <c r="A275" s="155">
        <v>45971</v>
      </c>
      <c r="B275" s="156">
        <v>11</v>
      </c>
      <c r="C275" s="129" t="s">
        <v>37</v>
      </c>
      <c r="D275" s="130">
        <v>1.8</v>
      </c>
      <c r="E275" s="130">
        <v>9.9</v>
      </c>
      <c r="F275" s="42">
        <f>IFERROR(VLOOKUP(E275, Table2[],2, FALSE)*D275, "")</f>
        <v>133.65</v>
      </c>
    </row>
    <row r="276" spans="1:6" x14ac:dyDescent="0.25">
      <c r="A276" s="221">
        <v>45981</v>
      </c>
      <c r="B276" s="222">
        <v>6</v>
      </c>
      <c r="C276" s="223" t="s">
        <v>37</v>
      </c>
      <c r="D276" s="224">
        <v>12.8</v>
      </c>
      <c r="E276" s="224">
        <v>7.4</v>
      </c>
      <c r="F276" s="42">
        <f>IFERROR(VLOOKUP(E276, Table2[],2, FALSE)*D276, "")</f>
        <v>710.40000000000009</v>
      </c>
    </row>
    <row r="277" spans="1:6" x14ac:dyDescent="0.25">
      <c r="A277" s="221">
        <v>45981</v>
      </c>
      <c r="B277" s="222">
        <v>8</v>
      </c>
      <c r="C277" s="223" t="s">
        <v>37</v>
      </c>
      <c r="D277" s="224">
        <v>7.1</v>
      </c>
      <c r="E277" s="224">
        <v>6.2</v>
      </c>
      <c r="F277" s="42">
        <f>IFERROR(VLOOKUP(E277, Table2[],2, FALSE)*D277, "")</f>
        <v>330.15</v>
      </c>
    </row>
    <row r="278" spans="1:6" x14ac:dyDescent="0.25">
      <c r="A278" s="221">
        <v>45981</v>
      </c>
      <c r="B278" s="222">
        <v>3</v>
      </c>
      <c r="C278" s="223" t="s">
        <v>37</v>
      </c>
      <c r="D278" s="224">
        <v>5.2</v>
      </c>
      <c r="E278" s="224">
        <v>7.2</v>
      </c>
      <c r="F278" s="42">
        <f>IFERROR(VLOOKUP(E278, Table2[],2, FALSE)*D278, "")</f>
        <v>280.8</v>
      </c>
    </row>
    <row r="279" spans="1:6" x14ac:dyDescent="0.25">
      <c r="A279" s="221">
        <v>45980</v>
      </c>
      <c r="B279" s="222">
        <v>9</v>
      </c>
      <c r="C279" s="223" t="s">
        <v>37</v>
      </c>
      <c r="D279" s="224">
        <v>1.1000000000000001</v>
      </c>
      <c r="E279" s="224">
        <v>9.1</v>
      </c>
      <c r="F279" s="42">
        <f>IFERROR(VLOOKUP(E279, Table2[],2, FALSE)*D279, "")</f>
        <v>75.075000000000003</v>
      </c>
    </row>
    <row r="280" spans="1:6" x14ac:dyDescent="0.25">
      <c r="A280" s="221">
        <v>45980</v>
      </c>
      <c r="B280" s="222">
        <v>16</v>
      </c>
      <c r="C280" s="223" t="s">
        <v>37</v>
      </c>
      <c r="D280" s="224">
        <v>2.6</v>
      </c>
      <c r="E280" s="224">
        <v>6.6</v>
      </c>
      <c r="F280" s="42">
        <f>IFERROR(VLOOKUP(E280, Table2[],2, FALSE)*D280, "")</f>
        <v>128.70000000000002</v>
      </c>
    </row>
    <row r="281" spans="1:6" x14ac:dyDescent="0.25">
      <c r="A281" s="221">
        <v>45981</v>
      </c>
      <c r="B281" s="222">
        <v>13</v>
      </c>
      <c r="C281" s="223" t="s">
        <v>37</v>
      </c>
      <c r="D281" s="224">
        <v>4.0999999999999996</v>
      </c>
      <c r="E281" s="224">
        <v>8.6999999999999993</v>
      </c>
      <c r="F281" s="42">
        <f>IFERROR(VLOOKUP(E281, Table2[],2, FALSE)*D281, "")</f>
        <v>267.52499999999998</v>
      </c>
    </row>
    <row r="282" spans="1:6" x14ac:dyDescent="0.25">
      <c r="A282" s="155">
        <v>45966</v>
      </c>
      <c r="B282" s="156">
        <v>1</v>
      </c>
      <c r="C282" s="129" t="s">
        <v>27</v>
      </c>
      <c r="D282" s="130">
        <v>3.8</v>
      </c>
      <c r="E282" s="130">
        <v>6</v>
      </c>
      <c r="F282" s="42">
        <f>IFERROR(VLOOKUP(E282, Table2[],2, FALSE)*D282, "")</f>
        <v>171</v>
      </c>
    </row>
    <row r="283" spans="1:6" x14ac:dyDescent="0.25">
      <c r="A283" s="221">
        <v>45981</v>
      </c>
      <c r="B283" s="222">
        <v>17</v>
      </c>
      <c r="C283" s="223" t="s">
        <v>37</v>
      </c>
      <c r="D283" s="224">
        <v>9.4</v>
      </c>
      <c r="E283" s="224">
        <v>6.6</v>
      </c>
      <c r="F283" s="42">
        <f>IFERROR(VLOOKUP(E283, Table2[],2, FALSE)*D283, "")</f>
        <v>465.3</v>
      </c>
    </row>
    <row r="284" spans="1:6" x14ac:dyDescent="0.25">
      <c r="A284" s="221">
        <v>45981</v>
      </c>
      <c r="B284" s="222">
        <v>4</v>
      </c>
      <c r="C284" s="223" t="s">
        <v>37</v>
      </c>
      <c r="D284" s="224">
        <v>14.4</v>
      </c>
      <c r="E284" s="224">
        <v>6.8</v>
      </c>
      <c r="F284" s="42">
        <f>IFERROR(VLOOKUP(E284, Table2[],2, FALSE)*D284, "")</f>
        <v>734.4</v>
      </c>
    </row>
    <row r="285" spans="1:6" x14ac:dyDescent="0.25">
      <c r="A285" s="221">
        <v>45981</v>
      </c>
      <c r="B285" s="222">
        <v>10</v>
      </c>
      <c r="C285" s="223" t="s">
        <v>37</v>
      </c>
      <c r="D285" s="224">
        <v>9.4</v>
      </c>
      <c r="E285" s="224">
        <v>8.1999999999999993</v>
      </c>
      <c r="F285" s="42">
        <f>IFERROR(VLOOKUP(E285, Table2[],2, FALSE)*D285, "")</f>
        <v>578.1</v>
      </c>
    </row>
    <row r="286" spans="1:6" x14ac:dyDescent="0.25">
      <c r="A286" s="155">
        <v>45971</v>
      </c>
      <c r="B286" s="156">
        <v>11</v>
      </c>
      <c r="C286" s="129" t="s">
        <v>27</v>
      </c>
      <c r="D286" s="130">
        <v>2</v>
      </c>
      <c r="E286" s="130">
        <v>9.1</v>
      </c>
      <c r="F286" s="42">
        <f>IFERROR(VLOOKUP(E286, Table2[],2, FALSE)*D286, "")</f>
        <v>136.5</v>
      </c>
    </row>
    <row r="287" spans="1:6" x14ac:dyDescent="0.25">
      <c r="A287" s="221">
        <v>45982</v>
      </c>
      <c r="B287" s="222">
        <v>6</v>
      </c>
      <c r="C287" s="223" t="s">
        <v>37</v>
      </c>
      <c r="D287" s="224">
        <v>13.1</v>
      </c>
      <c r="E287" s="224">
        <v>7.2</v>
      </c>
      <c r="F287" s="42">
        <f>IFERROR(VLOOKUP(E287, Table2[],2, FALSE)*D287, "")</f>
        <v>707.4</v>
      </c>
    </row>
    <row r="288" spans="1:6" x14ac:dyDescent="0.25">
      <c r="A288" s="221">
        <v>45982</v>
      </c>
      <c r="B288" s="222">
        <v>8</v>
      </c>
      <c r="C288" s="223" t="s">
        <v>37</v>
      </c>
      <c r="D288" s="224">
        <v>7.2</v>
      </c>
      <c r="E288" s="224">
        <v>6.2</v>
      </c>
      <c r="F288" s="42">
        <f>IFERROR(VLOOKUP(E288, Table2[],2, FALSE)*D288, "")</f>
        <v>334.8</v>
      </c>
    </row>
    <row r="289" spans="1:6" x14ac:dyDescent="0.25">
      <c r="A289" s="221">
        <v>45980</v>
      </c>
      <c r="B289" s="222">
        <v>7</v>
      </c>
      <c r="C289" s="223" t="s">
        <v>37</v>
      </c>
      <c r="D289" s="224">
        <v>3.5</v>
      </c>
      <c r="E289" s="224">
        <v>8.6</v>
      </c>
      <c r="F289" s="42">
        <f>IFERROR(VLOOKUP(E289, Table2[],2, FALSE)*D289, "")</f>
        <v>225.75</v>
      </c>
    </row>
    <row r="290" spans="1:6" x14ac:dyDescent="0.25">
      <c r="A290" s="221">
        <v>45981</v>
      </c>
      <c r="B290" s="222">
        <v>16</v>
      </c>
      <c r="C290" s="223" t="s">
        <v>37</v>
      </c>
      <c r="D290" s="224">
        <v>2.5</v>
      </c>
      <c r="E290" s="224">
        <v>7.2</v>
      </c>
      <c r="F290" s="42">
        <f>IFERROR(VLOOKUP(E290, Table2[],2, FALSE)*D290, "")</f>
        <v>135</v>
      </c>
    </row>
    <row r="291" spans="1:6" x14ac:dyDescent="0.25">
      <c r="A291" s="155">
        <v>45973</v>
      </c>
      <c r="B291" s="156">
        <v>5</v>
      </c>
      <c r="C291" s="129" t="s">
        <v>37</v>
      </c>
      <c r="D291" s="130">
        <v>2.1</v>
      </c>
      <c r="E291" s="130">
        <v>10</v>
      </c>
      <c r="F291" s="42">
        <f>IFERROR(VLOOKUP(E291, Table2[],2, FALSE)*D291, "")</f>
        <v>157.5</v>
      </c>
    </row>
    <row r="292" spans="1:6" x14ac:dyDescent="0.25">
      <c r="A292" s="221">
        <v>45982</v>
      </c>
      <c r="B292" s="222">
        <v>3</v>
      </c>
      <c r="C292" s="223" t="s">
        <v>37</v>
      </c>
      <c r="D292" s="224">
        <v>5.0999999999999996</v>
      </c>
      <c r="E292" s="224">
        <v>7.6</v>
      </c>
      <c r="F292" s="42">
        <f>IFERROR(VLOOKUP(E292, Table2[],2, FALSE)*D292, "")</f>
        <v>290.7</v>
      </c>
    </row>
    <row r="293" spans="1:6" x14ac:dyDescent="0.25">
      <c r="A293" s="221">
        <v>45981</v>
      </c>
      <c r="B293" s="222">
        <v>9</v>
      </c>
      <c r="C293" s="223" t="s">
        <v>37</v>
      </c>
      <c r="D293" s="224">
        <v>1</v>
      </c>
      <c r="E293" s="224">
        <v>8.6</v>
      </c>
      <c r="F293" s="42">
        <f>IFERROR(VLOOKUP(E293, Table2[],2, FALSE)*D293, "")</f>
        <v>64.5</v>
      </c>
    </row>
    <row r="294" spans="1:6" x14ac:dyDescent="0.25">
      <c r="A294" s="221">
        <v>45982</v>
      </c>
      <c r="B294" s="222">
        <v>17</v>
      </c>
      <c r="C294" s="223" t="s">
        <v>37</v>
      </c>
      <c r="D294" s="224">
        <v>10.8</v>
      </c>
      <c r="E294" s="224">
        <v>6.6</v>
      </c>
      <c r="F294" s="42">
        <f>IFERROR(VLOOKUP(E294, Table2[],2, FALSE)*D294, "")</f>
        <v>534.6</v>
      </c>
    </row>
    <row r="295" spans="1:6" x14ac:dyDescent="0.25">
      <c r="A295" s="155">
        <v>45967</v>
      </c>
      <c r="B295" s="156">
        <v>1</v>
      </c>
      <c r="C295" s="129" t="s">
        <v>27</v>
      </c>
      <c r="D295" s="130">
        <v>6</v>
      </c>
      <c r="E295" s="130">
        <v>6.5</v>
      </c>
      <c r="F295" s="42">
        <f>IFERROR(VLOOKUP(E295, Table2[],2, FALSE)*D295, "")</f>
        <v>292.5</v>
      </c>
    </row>
    <row r="296" spans="1:6" x14ac:dyDescent="0.25">
      <c r="A296" s="155">
        <v>45972</v>
      </c>
      <c r="B296" s="156">
        <v>2</v>
      </c>
      <c r="C296" s="129" t="s">
        <v>37</v>
      </c>
      <c r="D296" s="130">
        <v>1.6</v>
      </c>
      <c r="E296" s="130">
        <v>10</v>
      </c>
      <c r="F296" s="42">
        <f>IFERROR(VLOOKUP(E296, Table2[],2, FALSE)*D296, "")</f>
        <v>120</v>
      </c>
    </row>
    <row r="297" spans="1:6" x14ac:dyDescent="0.25">
      <c r="A297" s="221">
        <v>45982</v>
      </c>
      <c r="B297" s="222">
        <v>13</v>
      </c>
      <c r="C297" s="223" t="s">
        <v>37</v>
      </c>
      <c r="D297" s="224">
        <v>4.5999999999999996</v>
      </c>
      <c r="E297" s="224">
        <v>8.8000000000000007</v>
      </c>
      <c r="F297" s="42">
        <f>IFERROR(VLOOKUP(E297, Table2[],2, FALSE)*D297, "")</f>
        <v>303.59999999999997</v>
      </c>
    </row>
    <row r="298" spans="1:6" x14ac:dyDescent="0.25">
      <c r="A298" s="155">
        <v>45972</v>
      </c>
      <c r="B298" s="156">
        <v>14</v>
      </c>
      <c r="C298" s="129" t="s">
        <v>37</v>
      </c>
      <c r="D298" s="130">
        <v>1.2</v>
      </c>
      <c r="E298" s="130">
        <v>9.1</v>
      </c>
      <c r="F298" s="42">
        <f>IFERROR(VLOOKUP(E298, Table2[],2, FALSE)*D298, "")</f>
        <v>81.899999999999991</v>
      </c>
    </row>
    <row r="299" spans="1:6" x14ac:dyDescent="0.25">
      <c r="A299" s="221">
        <v>45982</v>
      </c>
      <c r="B299" s="222">
        <v>10</v>
      </c>
      <c r="C299" s="223" t="s">
        <v>37</v>
      </c>
      <c r="D299" s="224">
        <v>9.8000000000000007</v>
      </c>
      <c r="E299" s="224">
        <v>7.6</v>
      </c>
      <c r="F299" s="42">
        <f>IFERROR(VLOOKUP(E299, Table2[],2, FALSE)*D299, "")</f>
        <v>558.6</v>
      </c>
    </row>
    <row r="300" spans="1:6" x14ac:dyDescent="0.25">
      <c r="A300" s="155">
        <v>45972</v>
      </c>
      <c r="B300" s="156">
        <v>12</v>
      </c>
      <c r="C300" s="129" t="s">
        <v>37</v>
      </c>
      <c r="D300" s="130">
        <v>2.5</v>
      </c>
      <c r="E300" s="130">
        <v>7.5</v>
      </c>
      <c r="F300" s="42">
        <f>IFERROR(VLOOKUP(E300, Table2[],2, FALSE)*D300, "")</f>
        <v>140.625</v>
      </c>
    </row>
    <row r="301" spans="1:6" x14ac:dyDescent="0.25">
      <c r="A301" s="155">
        <v>45972</v>
      </c>
      <c r="B301" s="156">
        <v>15</v>
      </c>
      <c r="C301" s="129" t="s">
        <v>37</v>
      </c>
      <c r="D301" s="130">
        <v>11.8</v>
      </c>
      <c r="E301" s="130">
        <v>7.2</v>
      </c>
      <c r="F301" s="42">
        <f>IFERROR(VLOOKUP(E301, Table2[],2, FALSE)*D301, "")</f>
        <v>637.20000000000005</v>
      </c>
    </row>
    <row r="302" spans="1:6" x14ac:dyDescent="0.25">
      <c r="A302" s="155">
        <v>45972</v>
      </c>
      <c r="B302" s="156">
        <v>11</v>
      </c>
      <c r="C302" s="129" t="s">
        <v>37</v>
      </c>
      <c r="D302" s="130">
        <v>1.7</v>
      </c>
      <c r="E302" s="130">
        <v>9.4</v>
      </c>
      <c r="F302" s="42">
        <f>IFERROR(VLOOKUP(E302, Table2[],2, FALSE)*D302, "")</f>
        <v>119.85</v>
      </c>
    </row>
    <row r="303" spans="1:6" x14ac:dyDescent="0.25">
      <c r="A303" s="221">
        <v>45982</v>
      </c>
      <c r="B303" s="222">
        <v>4</v>
      </c>
      <c r="C303" s="223" t="s">
        <v>37</v>
      </c>
      <c r="D303" s="224">
        <v>15.6</v>
      </c>
      <c r="E303" s="224">
        <v>6.7</v>
      </c>
      <c r="F303" s="42">
        <f>IFERROR(VLOOKUP(E303, Table2[],2, FALSE)*D303, "")</f>
        <v>783.9</v>
      </c>
    </row>
    <row r="304" spans="1:6" x14ac:dyDescent="0.25">
      <c r="A304" s="221">
        <v>45983</v>
      </c>
      <c r="B304" s="222">
        <v>6</v>
      </c>
      <c r="C304" s="223" t="s">
        <v>37</v>
      </c>
      <c r="D304" s="224">
        <v>12.1</v>
      </c>
      <c r="E304" s="224">
        <v>7.5</v>
      </c>
      <c r="F304" s="42">
        <f>IFERROR(VLOOKUP(E304, Table2[],2, FALSE)*D304, "")</f>
        <v>680.625</v>
      </c>
    </row>
    <row r="305" spans="1:6" x14ac:dyDescent="0.25">
      <c r="A305" s="221">
        <v>45983</v>
      </c>
      <c r="B305" s="222">
        <v>8</v>
      </c>
      <c r="C305" s="223" t="s">
        <v>37</v>
      </c>
      <c r="D305" s="224">
        <v>6.2</v>
      </c>
      <c r="E305" s="224">
        <v>6.4</v>
      </c>
      <c r="F305" s="42">
        <f>IFERROR(VLOOKUP(E305, Table2[],2, FALSE)*D305, "")</f>
        <v>297.60000000000002</v>
      </c>
    </row>
    <row r="306" spans="1:6" x14ac:dyDescent="0.25">
      <c r="A306" s="221">
        <v>45982</v>
      </c>
      <c r="B306" s="222">
        <v>9</v>
      </c>
      <c r="C306" s="223" t="s">
        <v>37</v>
      </c>
      <c r="D306" s="224">
        <v>1</v>
      </c>
      <c r="E306" s="224">
        <v>8.4</v>
      </c>
      <c r="F306" s="42">
        <f>IFERROR(VLOOKUP(E306, Table2[],2, FALSE)*D306, "")</f>
        <v>63</v>
      </c>
    </row>
    <row r="307" spans="1:6" x14ac:dyDescent="0.25">
      <c r="A307" s="155">
        <v>45973</v>
      </c>
      <c r="B307" s="156">
        <v>12</v>
      </c>
      <c r="C307" s="129" t="s">
        <v>37</v>
      </c>
      <c r="D307" s="130">
        <v>4.3</v>
      </c>
      <c r="E307" s="130">
        <v>6.7</v>
      </c>
      <c r="F307" s="42">
        <f>IFERROR(VLOOKUP(E307, Table2[],2, FALSE)*D307, "")</f>
        <v>216.07499999999999</v>
      </c>
    </row>
    <row r="308" spans="1:6" x14ac:dyDescent="0.25">
      <c r="A308" s="155">
        <v>45968</v>
      </c>
      <c r="B308" s="156">
        <v>1</v>
      </c>
      <c r="C308" s="129" t="s">
        <v>27</v>
      </c>
      <c r="D308" s="130">
        <v>5.5</v>
      </c>
      <c r="E308" s="130">
        <v>6.5</v>
      </c>
      <c r="F308" s="42">
        <f>IFERROR(VLOOKUP(E308, Table2[],2, FALSE)*D308, "")</f>
        <v>268.125</v>
      </c>
    </row>
    <row r="309" spans="1:6" x14ac:dyDescent="0.25">
      <c r="A309" s="221">
        <v>45983</v>
      </c>
      <c r="B309" s="222">
        <v>3</v>
      </c>
      <c r="C309" s="223" t="s">
        <v>37</v>
      </c>
      <c r="D309" s="224">
        <v>4.4000000000000004</v>
      </c>
      <c r="E309" s="224">
        <v>6.8</v>
      </c>
      <c r="F309" s="42">
        <f>IFERROR(VLOOKUP(E309, Table2[],2, FALSE)*D309, "")</f>
        <v>224.4</v>
      </c>
    </row>
    <row r="310" spans="1:6" x14ac:dyDescent="0.25">
      <c r="A310" s="221">
        <v>45982</v>
      </c>
      <c r="B310" s="222">
        <v>16</v>
      </c>
      <c r="C310" s="223" t="s">
        <v>37</v>
      </c>
      <c r="D310" s="224">
        <v>2.8</v>
      </c>
      <c r="E310" s="224">
        <v>7.2</v>
      </c>
      <c r="F310" s="42">
        <f>IFERROR(VLOOKUP(E310, Table2[],2, FALSE)*D310, "")</f>
        <v>151.19999999999999</v>
      </c>
    </row>
    <row r="311" spans="1:6" x14ac:dyDescent="0.25">
      <c r="A311" s="221">
        <v>45983</v>
      </c>
      <c r="B311" s="222">
        <v>13</v>
      </c>
      <c r="C311" s="223" t="s">
        <v>37</v>
      </c>
      <c r="D311" s="224">
        <v>3.5</v>
      </c>
      <c r="E311" s="224">
        <v>8.6</v>
      </c>
      <c r="F311" s="42">
        <f>IFERROR(VLOOKUP(E311, Table2[],2, FALSE)*D311, "")</f>
        <v>225.75</v>
      </c>
    </row>
    <row r="312" spans="1:6" x14ac:dyDescent="0.25">
      <c r="A312" s="221">
        <v>45981</v>
      </c>
      <c r="B312" s="222">
        <v>7</v>
      </c>
      <c r="C312" s="223" t="s">
        <v>37</v>
      </c>
      <c r="D312" s="224">
        <v>2.8</v>
      </c>
      <c r="E312" s="224">
        <v>7.7</v>
      </c>
      <c r="F312" s="42">
        <f>IFERROR(VLOOKUP(E312, Table2[],2, FALSE)*D312, "")</f>
        <v>161.69999999999999</v>
      </c>
    </row>
    <row r="313" spans="1:6" x14ac:dyDescent="0.25">
      <c r="A313" s="221">
        <v>45983</v>
      </c>
      <c r="B313" s="222">
        <v>10</v>
      </c>
      <c r="C313" s="223" t="s">
        <v>37</v>
      </c>
      <c r="D313" s="224">
        <v>9</v>
      </c>
      <c r="E313" s="224">
        <v>8.1999999999999993</v>
      </c>
      <c r="F313" s="42">
        <f>IFERROR(VLOOKUP(E313, Table2[],2, FALSE)*D313, "")</f>
        <v>553.5</v>
      </c>
    </row>
    <row r="314" spans="1:6" x14ac:dyDescent="0.25">
      <c r="A314" s="221">
        <v>45983</v>
      </c>
      <c r="B314" s="222">
        <v>4</v>
      </c>
      <c r="C314" s="223" t="s">
        <v>37</v>
      </c>
      <c r="D314" s="224">
        <v>15.6</v>
      </c>
      <c r="E314" s="224">
        <v>6.5</v>
      </c>
      <c r="F314" s="42">
        <f>IFERROR(VLOOKUP(E314, Table2[],2, FALSE)*D314, "")</f>
        <v>760.5</v>
      </c>
    </row>
    <row r="315" spans="1:6" x14ac:dyDescent="0.25">
      <c r="A315" s="155">
        <v>45972</v>
      </c>
      <c r="B315" s="156">
        <v>11</v>
      </c>
      <c r="C315" s="129" t="s">
        <v>27</v>
      </c>
      <c r="D315" s="130">
        <v>2</v>
      </c>
      <c r="E315" s="130">
        <v>9.4</v>
      </c>
      <c r="F315" s="42">
        <f>IFERROR(VLOOKUP(E315, Table2[],2, FALSE)*D315, "")</f>
        <v>141</v>
      </c>
    </row>
    <row r="316" spans="1:6" x14ac:dyDescent="0.25">
      <c r="A316" s="221">
        <v>45982</v>
      </c>
      <c r="B316" s="222">
        <v>7</v>
      </c>
      <c r="C316" s="223" t="s">
        <v>37</v>
      </c>
      <c r="D316" s="224">
        <v>2.8</v>
      </c>
      <c r="E316" s="224">
        <v>6.2</v>
      </c>
      <c r="F316" s="42">
        <f>IFERROR(VLOOKUP(E316, Table2[],2, FALSE)*D316, "")</f>
        <v>130.19999999999999</v>
      </c>
    </row>
    <row r="317" spans="1:6" x14ac:dyDescent="0.25">
      <c r="A317" s="221">
        <v>45984</v>
      </c>
      <c r="B317" s="222">
        <v>6</v>
      </c>
      <c r="C317" s="223" t="s">
        <v>37</v>
      </c>
      <c r="D317" s="224">
        <v>11.9</v>
      </c>
      <c r="E317" s="224">
        <v>7.5</v>
      </c>
      <c r="F317" s="42">
        <f>IFERROR(VLOOKUP(E317, Table2[],2, FALSE)*D317, "")</f>
        <v>669.375</v>
      </c>
    </row>
    <row r="318" spans="1:6" x14ac:dyDescent="0.25">
      <c r="A318" s="221">
        <v>45983</v>
      </c>
      <c r="B318" s="222">
        <v>16</v>
      </c>
      <c r="C318" s="223" t="s">
        <v>37</v>
      </c>
      <c r="D318" s="224">
        <v>2.4</v>
      </c>
      <c r="E318" s="224">
        <v>7.3</v>
      </c>
      <c r="F318" s="42">
        <f>IFERROR(VLOOKUP(E318, Table2[],2, FALSE)*D318, "")</f>
        <v>131.4</v>
      </c>
    </row>
    <row r="319" spans="1:6" x14ac:dyDescent="0.25">
      <c r="A319" s="221">
        <v>45984</v>
      </c>
      <c r="B319" s="222">
        <v>3</v>
      </c>
      <c r="C319" s="223" t="s">
        <v>37</v>
      </c>
      <c r="D319" s="224">
        <v>4.3</v>
      </c>
      <c r="E319" s="224">
        <v>8</v>
      </c>
      <c r="F319" s="42">
        <f>IFERROR(VLOOKUP(E319, Table2[],2, FALSE)*D319, "")</f>
        <v>258</v>
      </c>
    </row>
    <row r="320" spans="1:6" x14ac:dyDescent="0.25">
      <c r="A320" s="221">
        <v>45984</v>
      </c>
      <c r="B320" s="222">
        <v>10</v>
      </c>
      <c r="C320" s="223" t="s">
        <v>37</v>
      </c>
      <c r="D320" s="224">
        <v>8.8000000000000007</v>
      </c>
      <c r="E320" s="224">
        <v>8.4</v>
      </c>
      <c r="F320" s="42">
        <f>IFERROR(VLOOKUP(E320, Table2[],2, FALSE)*D320, "")</f>
        <v>554.40000000000009</v>
      </c>
    </row>
    <row r="321" spans="1:6" x14ac:dyDescent="0.25">
      <c r="A321" s="155">
        <v>45974</v>
      </c>
      <c r="B321" s="156">
        <v>5</v>
      </c>
      <c r="C321" s="129" t="s">
        <v>37</v>
      </c>
      <c r="D321" s="130">
        <v>2</v>
      </c>
      <c r="E321" s="130">
        <v>10</v>
      </c>
      <c r="F321" s="42">
        <f>IFERROR(VLOOKUP(E321, Table2[],2, FALSE)*D321, "")</f>
        <v>150</v>
      </c>
    </row>
    <row r="322" spans="1:6" x14ac:dyDescent="0.25">
      <c r="A322" s="155">
        <v>45974</v>
      </c>
      <c r="B322" s="156">
        <v>12</v>
      </c>
      <c r="C322" s="129" t="s">
        <v>37</v>
      </c>
      <c r="D322" s="130">
        <v>4.0999999999999996</v>
      </c>
      <c r="E322" s="130">
        <v>6.8</v>
      </c>
      <c r="F322" s="42">
        <f>IFERROR(VLOOKUP(E322, Table2[],2, FALSE)*D322, "")</f>
        <v>209.1</v>
      </c>
    </row>
    <row r="323" spans="1:6" x14ac:dyDescent="0.25">
      <c r="A323" s="221">
        <v>45983</v>
      </c>
      <c r="B323" s="222">
        <v>17</v>
      </c>
      <c r="C323" s="223" t="s">
        <v>37</v>
      </c>
      <c r="D323" s="224">
        <v>9.8000000000000007</v>
      </c>
      <c r="E323" s="224">
        <v>6.8</v>
      </c>
      <c r="F323" s="42">
        <f>IFERROR(VLOOKUP(E323, Table2[],2, FALSE)*D323, "")</f>
        <v>499.8</v>
      </c>
    </row>
    <row r="324" spans="1:6" x14ac:dyDescent="0.25">
      <c r="A324" s="221">
        <v>45984</v>
      </c>
      <c r="B324" s="222">
        <v>8</v>
      </c>
      <c r="C324" s="223" t="s">
        <v>37</v>
      </c>
      <c r="D324" s="224">
        <v>7.2</v>
      </c>
      <c r="E324" s="224">
        <v>6.6</v>
      </c>
      <c r="F324" s="42">
        <f>IFERROR(VLOOKUP(E324, Table2[],2, FALSE)*D324, "")</f>
        <v>356.40000000000003</v>
      </c>
    </row>
    <row r="325" spans="1:6" x14ac:dyDescent="0.25">
      <c r="A325" s="155">
        <v>45969</v>
      </c>
      <c r="B325" s="156">
        <v>1</v>
      </c>
      <c r="C325" s="129" t="s">
        <v>27</v>
      </c>
      <c r="D325" s="130">
        <v>6.2</v>
      </c>
      <c r="E325" s="130">
        <v>6.3</v>
      </c>
      <c r="F325" s="42">
        <f>IFERROR(VLOOKUP(E325, Table2[],2, FALSE)*D325, "")</f>
        <v>292.95</v>
      </c>
    </row>
    <row r="326" spans="1:6" x14ac:dyDescent="0.25">
      <c r="A326" s="221">
        <v>45984</v>
      </c>
      <c r="B326" s="222">
        <v>13</v>
      </c>
      <c r="C326" s="223" t="s">
        <v>37</v>
      </c>
      <c r="D326" s="224">
        <v>3.3</v>
      </c>
      <c r="E326" s="224">
        <v>8.4</v>
      </c>
      <c r="F326" s="42">
        <f>IFERROR(VLOOKUP(E326, Table2[],2, FALSE)*D326, "")</f>
        <v>207.89999999999998</v>
      </c>
    </row>
    <row r="327" spans="1:6" x14ac:dyDescent="0.25">
      <c r="A327" s="155">
        <v>45973</v>
      </c>
      <c r="B327" s="156">
        <v>14</v>
      </c>
      <c r="C327" s="129" t="s">
        <v>37</v>
      </c>
      <c r="D327" s="130">
        <v>1.2</v>
      </c>
      <c r="E327" s="130">
        <v>8.9</v>
      </c>
      <c r="F327" s="42">
        <f>IFERROR(VLOOKUP(E327, Table2[],2, FALSE)*D327, "")</f>
        <v>80.099999999999994</v>
      </c>
    </row>
    <row r="328" spans="1:6" x14ac:dyDescent="0.25">
      <c r="A328" s="221">
        <v>45983</v>
      </c>
      <c r="B328" s="222">
        <v>9</v>
      </c>
      <c r="C328" s="223" t="s">
        <v>37</v>
      </c>
      <c r="D328" s="224">
        <v>1.1000000000000001</v>
      </c>
      <c r="E328" s="224">
        <v>8</v>
      </c>
      <c r="F328" s="42">
        <f>IFERROR(VLOOKUP(E328, Table2[],2, FALSE)*D328, "")</f>
        <v>66</v>
      </c>
    </row>
    <row r="329" spans="1:6" x14ac:dyDescent="0.25">
      <c r="A329" s="155">
        <v>45973</v>
      </c>
      <c r="B329" s="156">
        <v>2</v>
      </c>
      <c r="C329" s="129" t="s">
        <v>37</v>
      </c>
      <c r="D329" s="130">
        <v>1.4</v>
      </c>
      <c r="E329" s="130">
        <v>10</v>
      </c>
      <c r="F329" s="42">
        <f>IFERROR(VLOOKUP(E329, Table2[],2, FALSE)*D329, "")</f>
        <v>105</v>
      </c>
    </row>
    <row r="330" spans="1:6" x14ac:dyDescent="0.25">
      <c r="A330" s="221">
        <v>45984</v>
      </c>
      <c r="B330" s="222">
        <v>4</v>
      </c>
      <c r="C330" s="223" t="s">
        <v>37</v>
      </c>
      <c r="D330" s="224">
        <v>15.1</v>
      </c>
      <c r="E330" s="224">
        <v>7</v>
      </c>
      <c r="F330" s="42">
        <f>IFERROR(VLOOKUP(E330, Table2[],2, FALSE)*D330, "")</f>
        <v>792.75</v>
      </c>
    </row>
    <row r="331" spans="1:6" x14ac:dyDescent="0.25">
      <c r="A331" s="155">
        <v>45973</v>
      </c>
      <c r="B331" s="156">
        <v>11</v>
      </c>
      <c r="C331" s="129" t="s">
        <v>37</v>
      </c>
      <c r="D331" s="130">
        <v>1.7</v>
      </c>
      <c r="E331" s="130">
        <v>9.4</v>
      </c>
      <c r="F331" s="42">
        <f>IFERROR(VLOOKUP(E331, Table2[],2, FALSE)*D331, "")</f>
        <v>119.85</v>
      </c>
    </row>
    <row r="332" spans="1:6" x14ac:dyDescent="0.25">
      <c r="A332" s="155">
        <v>45973</v>
      </c>
      <c r="B332" s="156">
        <v>15</v>
      </c>
      <c r="C332" s="129" t="s">
        <v>37</v>
      </c>
      <c r="D332" s="130">
        <v>11.9</v>
      </c>
      <c r="E332" s="130">
        <v>7</v>
      </c>
      <c r="F332" s="42">
        <f>IFERROR(VLOOKUP(E332, Table2[],2, FALSE)*D332, "")</f>
        <v>624.75</v>
      </c>
    </row>
    <row r="333" spans="1:6" x14ac:dyDescent="0.25">
      <c r="A333" s="221">
        <v>45985</v>
      </c>
      <c r="B333" s="222">
        <v>8</v>
      </c>
      <c r="C333" s="223" t="s">
        <v>37</v>
      </c>
      <c r="D333" s="224">
        <v>6.7</v>
      </c>
      <c r="E333" s="224">
        <v>6.4</v>
      </c>
      <c r="F333" s="42">
        <f>IFERROR(VLOOKUP(E333, Table2[],2, FALSE)*D333, "")</f>
        <v>321.60000000000002</v>
      </c>
    </row>
    <row r="334" spans="1:6" x14ac:dyDescent="0.25">
      <c r="A334" s="155">
        <v>45975</v>
      </c>
      <c r="B334" s="156">
        <v>12</v>
      </c>
      <c r="C334" s="129" t="s">
        <v>37</v>
      </c>
      <c r="D334" s="130">
        <v>4.0999999999999996</v>
      </c>
      <c r="E334" s="130">
        <v>6.6</v>
      </c>
      <c r="F334" s="42">
        <f>IFERROR(VLOOKUP(E334, Table2[],2, FALSE)*D334, "")</f>
        <v>202.95</v>
      </c>
    </row>
    <row r="335" spans="1:6" x14ac:dyDescent="0.25">
      <c r="A335" s="221">
        <v>45985</v>
      </c>
      <c r="B335" s="222">
        <v>6</v>
      </c>
      <c r="C335" s="223" t="s">
        <v>37</v>
      </c>
      <c r="D335" s="224">
        <v>11.5</v>
      </c>
      <c r="E335" s="224">
        <v>7.1</v>
      </c>
      <c r="F335" s="42">
        <f>IFERROR(VLOOKUP(E335, Table2[],2, FALSE)*D335, "")</f>
        <v>612.375</v>
      </c>
    </row>
    <row r="336" spans="1:6" x14ac:dyDescent="0.25">
      <c r="A336" s="221">
        <v>45984</v>
      </c>
      <c r="B336" s="222">
        <v>9</v>
      </c>
      <c r="C336" s="223" t="s">
        <v>37</v>
      </c>
      <c r="D336" s="224">
        <v>1</v>
      </c>
      <c r="E336" s="224">
        <v>7.7</v>
      </c>
      <c r="F336" s="42">
        <f>IFERROR(VLOOKUP(E336, Table2[],2, FALSE)*D336, "")</f>
        <v>57.75</v>
      </c>
    </row>
    <row r="337" spans="1:6" x14ac:dyDescent="0.25">
      <c r="A337" s="155">
        <v>45970</v>
      </c>
      <c r="B337" s="156">
        <v>1</v>
      </c>
      <c r="C337" s="129" t="s">
        <v>27</v>
      </c>
      <c r="D337" s="130">
        <v>5.2</v>
      </c>
      <c r="E337" s="130">
        <v>6.8</v>
      </c>
      <c r="F337" s="42">
        <f>IFERROR(VLOOKUP(E337, Table2[],2, FALSE)*D337, "")</f>
        <v>265.2</v>
      </c>
    </row>
    <row r="338" spans="1:6" x14ac:dyDescent="0.25">
      <c r="A338" s="221">
        <v>45985</v>
      </c>
      <c r="B338" s="222">
        <v>13</v>
      </c>
      <c r="C338" s="223" t="s">
        <v>37</v>
      </c>
      <c r="D338" s="224">
        <v>3.8</v>
      </c>
      <c r="E338" s="224">
        <v>8.6999999999999993</v>
      </c>
      <c r="F338" s="42">
        <f>IFERROR(VLOOKUP(E338, Table2[],2, FALSE)*D338, "")</f>
        <v>247.95</v>
      </c>
    </row>
    <row r="339" spans="1:6" x14ac:dyDescent="0.25">
      <c r="A339" s="221">
        <v>45984</v>
      </c>
      <c r="B339" s="222">
        <v>16</v>
      </c>
      <c r="C339" s="223" t="s">
        <v>37</v>
      </c>
      <c r="D339" s="224">
        <v>2.5</v>
      </c>
      <c r="E339" s="224">
        <v>7</v>
      </c>
      <c r="F339" s="42">
        <f>IFERROR(VLOOKUP(E339, Table2[],2, FALSE)*D339, "")</f>
        <v>131.25</v>
      </c>
    </row>
    <row r="340" spans="1:6" x14ac:dyDescent="0.25">
      <c r="A340" s="221">
        <v>45985</v>
      </c>
      <c r="B340" s="222">
        <v>3</v>
      </c>
      <c r="C340" s="223" t="s">
        <v>37</v>
      </c>
      <c r="D340" s="224">
        <v>4.4000000000000004</v>
      </c>
      <c r="E340" s="224">
        <v>7.8</v>
      </c>
      <c r="F340" s="42">
        <f>IFERROR(VLOOKUP(E340, Table2[],2, FALSE)*D340, "")</f>
        <v>257.40000000000003</v>
      </c>
    </row>
    <row r="341" spans="1:6" x14ac:dyDescent="0.25">
      <c r="A341" s="221">
        <v>45984</v>
      </c>
      <c r="B341" s="222">
        <v>17</v>
      </c>
      <c r="C341" s="223" t="s">
        <v>37</v>
      </c>
      <c r="D341" s="224">
        <v>11.3</v>
      </c>
      <c r="E341" s="224">
        <v>6.2</v>
      </c>
      <c r="F341" s="42">
        <f>IFERROR(VLOOKUP(E341, Table2[],2, FALSE)*D341, "")</f>
        <v>525.45000000000005</v>
      </c>
    </row>
    <row r="342" spans="1:6" x14ac:dyDescent="0.25">
      <c r="A342" s="221">
        <v>45985</v>
      </c>
      <c r="B342" s="222">
        <v>10</v>
      </c>
      <c r="C342" s="223" t="s">
        <v>37</v>
      </c>
      <c r="D342" s="224">
        <v>7.9</v>
      </c>
      <c r="E342" s="224">
        <v>8.5</v>
      </c>
      <c r="F342" s="42">
        <f>IFERROR(VLOOKUP(E342, Table2[],2, FALSE)*D342, "")</f>
        <v>503.625</v>
      </c>
    </row>
    <row r="343" spans="1:6" x14ac:dyDescent="0.25">
      <c r="A343" s="155">
        <v>45973</v>
      </c>
      <c r="B343" s="156">
        <v>11</v>
      </c>
      <c r="C343" s="129" t="s">
        <v>27</v>
      </c>
      <c r="D343" s="130">
        <v>2</v>
      </c>
      <c r="E343" s="130">
        <v>9.4</v>
      </c>
      <c r="F343" s="42">
        <f>IFERROR(VLOOKUP(E343, Table2[],2, FALSE)*D343, "")</f>
        <v>141</v>
      </c>
    </row>
    <row r="344" spans="1:6" x14ac:dyDescent="0.25">
      <c r="A344" s="221">
        <v>45985</v>
      </c>
      <c r="B344" s="222">
        <v>4</v>
      </c>
      <c r="C344" s="223" t="s">
        <v>37</v>
      </c>
      <c r="D344" s="224">
        <v>14.1</v>
      </c>
      <c r="E344" s="224">
        <v>6.8</v>
      </c>
      <c r="F344" s="42">
        <f>IFERROR(VLOOKUP(E344, Table2[],2, FALSE)*D344, "")</f>
        <v>719.1</v>
      </c>
    </row>
    <row r="345" spans="1:6" x14ac:dyDescent="0.25">
      <c r="A345" s="221">
        <v>45986</v>
      </c>
      <c r="B345" s="222">
        <v>6</v>
      </c>
      <c r="C345" s="223" t="s">
        <v>37</v>
      </c>
      <c r="D345" s="224">
        <v>12</v>
      </c>
      <c r="E345" s="224">
        <v>7.2</v>
      </c>
      <c r="F345" s="42">
        <f>IFERROR(VLOOKUP(E345, Table2[],2, FALSE)*D345, "")</f>
        <v>648</v>
      </c>
    </row>
    <row r="346" spans="1:6" x14ac:dyDescent="0.25">
      <c r="A346" s="155">
        <v>45975</v>
      </c>
      <c r="B346" s="156">
        <v>5</v>
      </c>
      <c r="C346" s="129" t="s">
        <v>37</v>
      </c>
      <c r="D346" s="130">
        <v>2</v>
      </c>
      <c r="E346" s="130">
        <v>10</v>
      </c>
      <c r="F346" s="42">
        <f>IFERROR(VLOOKUP(E346, Table2[],2, FALSE)*D346, "")</f>
        <v>150</v>
      </c>
    </row>
    <row r="347" spans="1:6" x14ac:dyDescent="0.25">
      <c r="A347" s="221">
        <v>45983</v>
      </c>
      <c r="B347" s="222">
        <v>7</v>
      </c>
      <c r="C347" s="223" t="s">
        <v>37</v>
      </c>
      <c r="D347" s="224">
        <v>3.1</v>
      </c>
      <c r="E347" s="224">
        <v>7</v>
      </c>
      <c r="F347" s="42">
        <f>IFERROR(VLOOKUP(E347, Table2[],2, FALSE)*D347, "")</f>
        <v>162.75</v>
      </c>
    </row>
    <row r="348" spans="1:6" x14ac:dyDescent="0.25">
      <c r="A348" s="221">
        <v>45985</v>
      </c>
      <c r="B348" s="222">
        <v>16</v>
      </c>
      <c r="C348" s="223" t="s">
        <v>37</v>
      </c>
      <c r="D348" s="224">
        <v>2.5</v>
      </c>
      <c r="E348" s="224">
        <v>7</v>
      </c>
      <c r="F348" s="42">
        <f>IFERROR(VLOOKUP(E348, Table2[],2, FALSE)*D348, "")</f>
        <v>131.25</v>
      </c>
    </row>
    <row r="349" spans="1:6" x14ac:dyDescent="0.25">
      <c r="A349" s="221">
        <v>45986</v>
      </c>
      <c r="B349" s="222">
        <v>8</v>
      </c>
      <c r="C349" s="223" t="s">
        <v>37</v>
      </c>
      <c r="D349" s="224">
        <v>6.5</v>
      </c>
      <c r="E349" s="224">
        <v>6.4</v>
      </c>
      <c r="F349" s="42">
        <f>IFERROR(VLOOKUP(E349, Table2[],2, FALSE)*D349, "")</f>
        <v>312</v>
      </c>
    </row>
    <row r="350" spans="1:6" x14ac:dyDescent="0.25">
      <c r="A350" s="221">
        <v>45986</v>
      </c>
      <c r="B350" s="222">
        <v>3</v>
      </c>
      <c r="C350" s="223" t="s">
        <v>37</v>
      </c>
      <c r="D350" s="224">
        <v>4.9000000000000004</v>
      </c>
      <c r="E350" s="224">
        <v>7.5</v>
      </c>
      <c r="F350" s="42">
        <f>IFERROR(VLOOKUP(E350, Table2[],2, FALSE)*D350, "")</f>
        <v>275.625</v>
      </c>
    </row>
    <row r="351" spans="1:6" x14ac:dyDescent="0.25">
      <c r="A351" s="155">
        <v>45976</v>
      </c>
      <c r="B351" s="156">
        <v>12</v>
      </c>
      <c r="C351" s="129" t="s">
        <v>37</v>
      </c>
      <c r="D351" s="130">
        <v>6.4</v>
      </c>
      <c r="E351" s="130">
        <v>6.4</v>
      </c>
      <c r="F351" s="42">
        <f>IFERROR(VLOOKUP(E351, Table2[],2, FALSE)*D351, "")</f>
        <v>307.20000000000005</v>
      </c>
    </row>
    <row r="352" spans="1:6" x14ac:dyDescent="0.25">
      <c r="A352" s="221">
        <v>45985</v>
      </c>
      <c r="B352" s="222">
        <v>9</v>
      </c>
      <c r="C352" s="223" t="s">
        <v>37</v>
      </c>
      <c r="D352" s="224">
        <v>1</v>
      </c>
      <c r="E352" s="224">
        <v>9.1</v>
      </c>
      <c r="F352" s="42">
        <f>IFERROR(VLOOKUP(E352, Table2[],2, FALSE)*D352, "")</f>
        <v>68.25</v>
      </c>
    </row>
    <row r="353" spans="1:6" x14ac:dyDescent="0.25">
      <c r="A353" s="155">
        <v>45974</v>
      </c>
      <c r="B353" s="156">
        <v>2</v>
      </c>
      <c r="C353" s="129" t="s">
        <v>37</v>
      </c>
      <c r="D353" s="130">
        <v>1.2</v>
      </c>
      <c r="E353" s="130">
        <v>9.4</v>
      </c>
      <c r="F353" s="42">
        <f>IFERROR(VLOOKUP(E353, Table2[],2, FALSE)*D353, "")</f>
        <v>84.6</v>
      </c>
    </row>
    <row r="354" spans="1:6" x14ac:dyDescent="0.25">
      <c r="A354" s="221">
        <v>45986</v>
      </c>
      <c r="B354" s="222">
        <v>13</v>
      </c>
      <c r="C354" s="223" t="s">
        <v>37</v>
      </c>
      <c r="D354" s="224">
        <v>4.8</v>
      </c>
      <c r="E354" s="224">
        <v>8.8000000000000007</v>
      </c>
      <c r="F354" s="42">
        <f>IFERROR(VLOOKUP(E354, Table2[],2, FALSE)*D354, "")</f>
        <v>316.8</v>
      </c>
    </row>
    <row r="355" spans="1:6" x14ac:dyDescent="0.25">
      <c r="A355" s="155">
        <v>45974</v>
      </c>
      <c r="B355" s="156">
        <v>14</v>
      </c>
      <c r="C355" s="129" t="s">
        <v>37</v>
      </c>
      <c r="D355" s="130">
        <v>1.1000000000000001</v>
      </c>
      <c r="E355" s="130">
        <v>9</v>
      </c>
      <c r="F355" s="42">
        <f>IFERROR(VLOOKUP(E355, Table2[],2, FALSE)*D355, "")</f>
        <v>74.25</v>
      </c>
    </row>
    <row r="356" spans="1:6" x14ac:dyDescent="0.25">
      <c r="A356" s="155">
        <v>45971</v>
      </c>
      <c r="B356" s="156">
        <v>1</v>
      </c>
      <c r="C356" s="129" t="s">
        <v>27</v>
      </c>
      <c r="D356" s="130">
        <v>6.1</v>
      </c>
      <c r="E356" s="130">
        <v>6.4</v>
      </c>
      <c r="F356" s="42">
        <f>IFERROR(VLOOKUP(E356, Table2[],2, FALSE)*D356, "")</f>
        <v>292.79999999999995</v>
      </c>
    </row>
    <row r="357" spans="1:6" x14ac:dyDescent="0.25">
      <c r="A357" s="221">
        <v>45985</v>
      </c>
      <c r="B357" s="222">
        <v>17</v>
      </c>
      <c r="C357" s="223" t="s">
        <v>37</v>
      </c>
      <c r="D357" s="224">
        <v>9.3000000000000007</v>
      </c>
      <c r="E357" s="224">
        <v>6.4</v>
      </c>
      <c r="F357" s="42">
        <f>IFERROR(VLOOKUP(E357, Table2[],2, FALSE)*D357, "")</f>
        <v>446.40000000000003</v>
      </c>
    </row>
    <row r="358" spans="1:6" x14ac:dyDescent="0.25">
      <c r="A358" s="155">
        <v>45974</v>
      </c>
      <c r="B358" s="156">
        <v>15</v>
      </c>
      <c r="C358" s="129" t="s">
        <v>37</v>
      </c>
      <c r="D358" s="130">
        <v>12.1</v>
      </c>
      <c r="E358" s="130">
        <v>6.8</v>
      </c>
      <c r="F358" s="42">
        <f>IFERROR(VLOOKUP(E358, Table2[],2, FALSE)*D358, "")</f>
        <v>617.1</v>
      </c>
    </row>
    <row r="359" spans="1:6" x14ac:dyDescent="0.25">
      <c r="A359" s="221">
        <v>45986</v>
      </c>
      <c r="B359" s="222">
        <v>4</v>
      </c>
      <c r="C359" s="223" t="s">
        <v>37</v>
      </c>
      <c r="D359" s="224">
        <v>13.7</v>
      </c>
      <c r="E359" s="224">
        <v>6.4</v>
      </c>
      <c r="F359" s="42">
        <f>IFERROR(VLOOKUP(E359, Table2[],2, FALSE)*D359, "")</f>
        <v>657.59999999999991</v>
      </c>
    </row>
    <row r="360" spans="1:6" x14ac:dyDescent="0.25">
      <c r="A360" s="221">
        <v>45986</v>
      </c>
      <c r="B360" s="222">
        <v>10</v>
      </c>
      <c r="C360" s="223" t="s">
        <v>37</v>
      </c>
      <c r="D360" s="224">
        <v>9.1</v>
      </c>
      <c r="E360" s="224">
        <v>8.1</v>
      </c>
      <c r="F360" s="42">
        <f>IFERROR(VLOOKUP(E360, Table2[],2, FALSE)*D360, "")</f>
        <v>552.82499999999993</v>
      </c>
    </row>
    <row r="361" spans="1:6" x14ac:dyDescent="0.25">
      <c r="A361" s="155">
        <v>45974</v>
      </c>
      <c r="B361" s="156">
        <v>11</v>
      </c>
      <c r="C361" s="129" t="s">
        <v>37</v>
      </c>
      <c r="D361" s="130">
        <v>1.8</v>
      </c>
      <c r="E361" s="130">
        <v>9.4</v>
      </c>
      <c r="F361" s="42">
        <f>IFERROR(VLOOKUP(E361, Table2[],2, FALSE)*D361, "")</f>
        <v>126.9</v>
      </c>
    </row>
    <row r="362" spans="1:6" x14ac:dyDescent="0.25">
      <c r="A362" s="221">
        <v>45987</v>
      </c>
      <c r="B362" s="222">
        <v>6</v>
      </c>
      <c r="C362" s="223" t="s">
        <v>37</v>
      </c>
      <c r="D362" s="224">
        <v>11.4</v>
      </c>
      <c r="E362" s="224">
        <v>7.4</v>
      </c>
      <c r="F362" s="42">
        <f>IFERROR(VLOOKUP(E362, Table2[],2, FALSE)*D362, "")</f>
        <v>632.70000000000005</v>
      </c>
    </row>
    <row r="363" spans="1:6" x14ac:dyDescent="0.25">
      <c r="A363" s="221">
        <v>45987</v>
      </c>
      <c r="B363" s="222">
        <v>13</v>
      </c>
      <c r="C363" s="223" t="s">
        <v>37</v>
      </c>
      <c r="D363" s="224">
        <v>3.9</v>
      </c>
      <c r="E363" s="224">
        <v>8.6</v>
      </c>
      <c r="F363" s="42">
        <f>IFERROR(VLOOKUP(E363, Table2[],2, FALSE)*D363, "")</f>
        <v>251.54999999999998</v>
      </c>
    </row>
    <row r="364" spans="1:6" x14ac:dyDescent="0.25">
      <c r="A364" s="155">
        <v>45972</v>
      </c>
      <c r="B364" s="156">
        <v>1</v>
      </c>
      <c r="C364" s="129" t="s">
        <v>27</v>
      </c>
      <c r="D364" s="130">
        <v>3.9</v>
      </c>
      <c r="E364" s="130">
        <v>7.2</v>
      </c>
      <c r="F364" s="42">
        <f>IFERROR(VLOOKUP(E364, Table2[],2, FALSE)*D364, "")</f>
        <v>210.6</v>
      </c>
    </row>
    <row r="365" spans="1:6" x14ac:dyDescent="0.25">
      <c r="A365" s="221">
        <v>45987</v>
      </c>
      <c r="B365" s="222">
        <v>3</v>
      </c>
      <c r="C365" s="223" t="s">
        <v>37</v>
      </c>
      <c r="D365" s="224">
        <v>5</v>
      </c>
      <c r="E365" s="224">
        <v>7.3</v>
      </c>
      <c r="F365" s="42">
        <f>IFERROR(VLOOKUP(E365, Table2[],2, FALSE)*D365, "")</f>
        <v>273.75</v>
      </c>
    </row>
    <row r="366" spans="1:6" x14ac:dyDescent="0.25">
      <c r="A366" s="221">
        <v>45977</v>
      </c>
      <c r="B366" s="222">
        <v>12</v>
      </c>
      <c r="C366" s="223" t="s">
        <v>37</v>
      </c>
      <c r="D366" s="224">
        <v>3.9</v>
      </c>
      <c r="E366" s="224">
        <v>6.8</v>
      </c>
      <c r="F366" s="42">
        <f>IFERROR(VLOOKUP(E366, Table2[],2, FALSE)*D366, "")</f>
        <v>198.9</v>
      </c>
    </row>
    <row r="367" spans="1:6" x14ac:dyDescent="0.25">
      <c r="A367" s="221">
        <v>45987</v>
      </c>
      <c r="B367" s="222">
        <v>8</v>
      </c>
      <c r="C367" s="223" t="s">
        <v>37</v>
      </c>
      <c r="D367" s="224">
        <v>6.8</v>
      </c>
      <c r="E367" s="224">
        <v>6.4</v>
      </c>
      <c r="F367" s="42">
        <f>IFERROR(VLOOKUP(E367, Table2[],2, FALSE)*D367, "")</f>
        <v>326.39999999999998</v>
      </c>
    </row>
    <row r="368" spans="1:6" x14ac:dyDescent="0.25">
      <c r="A368" s="221">
        <v>45986</v>
      </c>
      <c r="B368" s="222">
        <v>9</v>
      </c>
      <c r="C368" s="223" t="s">
        <v>37</v>
      </c>
      <c r="D368" s="224">
        <v>0.9</v>
      </c>
      <c r="E368" s="224">
        <v>10</v>
      </c>
      <c r="F368" s="42">
        <f>IFERROR(VLOOKUP(E368, Table2[],2, FALSE)*D368, "")</f>
        <v>67.5</v>
      </c>
    </row>
    <row r="369" spans="1:6" x14ac:dyDescent="0.25">
      <c r="A369" s="221">
        <v>45986</v>
      </c>
      <c r="B369" s="222">
        <v>16</v>
      </c>
      <c r="C369" s="223" t="s">
        <v>37</v>
      </c>
      <c r="D369" s="224">
        <v>2.8</v>
      </c>
      <c r="E369" s="224">
        <v>6.9</v>
      </c>
      <c r="F369" s="42">
        <f>IFERROR(VLOOKUP(E369, Table2[],2, FALSE)*D369, "")</f>
        <v>144.89999999999998</v>
      </c>
    </row>
    <row r="370" spans="1:6" x14ac:dyDescent="0.25">
      <c r="A370" s="221">
        <v>45987</v>
      </c>
      <c r="B370" s="222">
        <v>10</v>
      </c>
      <c r="C370" s="223" t="s">
        <v>37</v>
      </c>
      <c r="D370" s="224">
        <v>8.5</v>
      </c>
      <c r="E370" s="224">
        <v>8.1999999999999993</v>
      </c>
      <c r="F370" s="42">
        <f>IFERROR(VLOOKUP(E370, Table2[],2, FALSE)*D370, "")</f>
        <v>522.75</v>
      </c>
    </row>
    <row r="371" spans="1:6" x14ac:dyDescent="0.25">
      <c r="A371" s="221">
        <v>45986</v>
      </c>
      <c r="B371" s="222">
        <v>17</v>
      </c>
      <c r="C371" s="223" t="s">
        <v>37</v>
      </c>
      <c r="D371" s="224">
        <v>9.1</v>
      </c>
      <c r="E371" s="224">
        <v>6.2</v>
      </c>
      <c r="F371" s="42">
        <f>IFERROR(VLOOKUP(E371, Table2[],2, FALSE)*D371, "")</f>
        <v>423.15</v>
      </c>
    </row>
    <row r="372" spans="1:6" x14ac:dyDescent="0.25">
      <c r="A372" s="221">
        <v>45987</v>
      </c>
      <c r="B372" s="222">
        <v>4</v>
      </c>
      <c r="C372" s="223" t="s">
        <v>37</v>
      </c>
      <c r="D372" s="224">
        <v>15.7</v>
      </c>
      <c r="E372" s="224">
        <v>6.5</v>
      </c>
      <c r="F372" s="42">
        <f>IFERROR(VLOOKUP(E372, Table2[],2, FALSE)*D372, "")</f>
        <v>765.375</v>
      </c>
    </row>
    <row r="373" spans="1:6" x14ac:dyDescent="0.25">
      <c r="A373" s="155">
        <v>45974</v>
      </c>
      <c r="B373" s="156">
        <v>11</v>
      </c>
      <c r="C373" s="129" t="s">
        <v>27</v>
      </c>
      <c r="D373" s="130">
        <v>2</v>
      </c>
      <c r="E373" s="130">
        <v>9</v>
      </c>
      <c r="F373" s="42">
        <f>IFERROR(VLOOKUP(E373, Table2[],2, FALSE)*D373, "")</f>
        <v>135</v>
      </c>
    </row>
    <row r="374" spans="1:6" x14ac:dyDescent="0.25">
      <c r="A374" s="221">
        <v>45988</v>
      </c>
      <c r="B374" s="222">
        <v>6</v>
      </c>
      <c r="C374" s="223" t="s">
        <v>37</v>
      </c>
      <c r="D374" s="224">
        <v>8.3000000000000007</v>
      </c>
      <c r="E374" s="224">
        <v>7.2</v>
      </c>
      <c r="F374" s="42">
        <f>IFERROR(VLOOKUP(E374, Table2[],2, FALSE)*D374, "")</f>
        <v>448.20000000000005</v>
      </c>
    </row>
    <row r="375" spans="1:6" x14ac:dyDescent="0.25">
      <c r="A375" s="221">
        <v>45988</v>
      </c>
      <c r="B375" s="222">
        <v>3</v>
      </c>
      <c r="C375" s="223" t="s">
        <v>37</v>
      </c>
      <c r="D375" s="224">
        <v>4.9000000000000004</v>
      </c>
      <c r="E375" s="224">
        <v>7.4</v>
      </c>
      <c r="F375" s="42">
        <f>IFERROR(VLOOKUP(E375, Table2[],2, FALSE)*D375, "")</f>
        <v>271.95000000000005</v>
      </c>
    </row>
    <row r="376" spans="1:6" x14ac:dyDescent="0.25">
      <c r="A376" s="221">
        <v>45987</v>
      </c>
      <c r="B376" s="222">
        <v>16</v>
      </c>
      <c r="C376" s="223" t="s">
        <v>37</v>
      </c>
      <c r="D376" s="224">
        <v>2.6</v>
      </c>
      <c r="E376" s="224">
        <v>7.2</v>
      </c>
      <c r="F376" s="42">
        <f>IFERROR(VLOOKUP(E376, Table2[],2, FALSE)*D376, "")</f>
        <v>140.4</v>
      </c>
    </row>
    <row r="377" spans="1:6" x14ac:dyDescent="0.25">
      <c r="A377" s="221">
        <v>45988</v>
      </c>
      <c r="B377" s="222">
        <v>8</v>
      </c>
      <c r="C377" s="223" t="s">
        <v>37</v>
      </c>
      <c r="D377" s="224">
        <v>6.9</v>
      </c>
      <c r="E377" s="224">
        <v>6.4</v>
      </c>
      <c r="F377" s="42">
        <f>IFERROR(VLOOKUP(E377, Table2[],2, FALSE)*D377, "")</f>
        <v>331.20000000000005</v>
      </c>
    </row>
    <row r="378" spans="1:6" x14ac:dyDescent="0.25">
      <c r="A378" s="155">
        <v>45975</v>
      </c>
      <c r="B378" s="156">
        <v>2</v>
      </c>
      <c r="C378" s="129" t="s">
        <v>37</v>
      </c>
      <c r="D378" s="130">
        <v>1.1000000000000001</v>
      </c>
      <c r="E378" s="130">
        <v>9.4</v>
      </c>
      <c r="F378" s="42">
        <f>IFERROR(VLOOKUP(E378, Table2[],2, FALSE)*D378, "")</f>
        <v>77.550000000000011</v>
      </c>
    </row>
    <row r="379" spans="1:6" x14ac:dyDescent="0.25">
      <c r="A379" s="155">
        <v>45976</v>
      </c>
      <c r="B379" s="156">
        <v>5</v>
      </c>
      <c r="C379" s="129" t="s">
        <v>37</v>
      </c>
      <c r="D379" s="130">
        <v>2</v>
      </c>
      <c r="E379" s="130">
        <v>10</v>
      </c>
      <c r="F379" s="42">
        <f>IFERROR(VLOOKUP(E379, Table2[],2, FALSE)*D379, "")</f>
        <v>150</v>
      </c>
    </row>
    <row r="380" spans="1:6" x14ac:dyDescent="0.25">
      <c r="A380" s="155">
        <v>45973</v>
      </c>
      <c r="B380" s="156">
        <v>1</v>
      </c>
      <c r="C380" s="129" t="s">
        <v>27</v>
      </c>
      <c r="D380" s="130">
        <v>4.5999999999999996</v>
      </c>
      <c r="E380" s="130">
        <v>7.2</v>
      </c>
      <c r="F380" s="42">
        <f>IFERROR(VLOOKUP(E380, Table2[],2, FALSE)*D380, "")</f>
        <v>248.39999999999998</v>
      </c>
    </row>
    <row r="381" spans="1:6" x14ac:dyDescent="0.25">
      <c r="A381" s="221">
        <v>45984</v>
      </c>
      <c r="B381" s="222">
        <v>7</v>
      </c>
      <c r="C381" s="223" t="s">
        <v>37</v>
      </c>
      <c r="D381" s="224">
        <v>2.1</v>
      </c>
      <c r="E381" s="224">
        <v>7.8</v>
      </c>
      <c r="F381" s="42">
        <f>IFERROR(VLOOKUP(E381, Table2[],2, FALSE)*D381, "")</f>
        <v>122.85000000000001</v>
      </c>
    </row>
    <row r="382" spans="1:6" x14ac:dyDescent="0.25">
      <c r="A382" s="221">
        <v>45987</v>
      </c>
      <c r="B382" s="222">
        <v>9</v>
      </c>
      <c r="C382" s="223" t="s">
        <v>37</v>
      </c>
      <c r="D382" s="224">
        <v>1.1000000000000001</v>
      </c>
      <c r="E382" s="224">
        <v>8.4</v>
      </c>
      <c r="F382" s="42">
        <f>IFERROR(VLOOKUP(E382, Table2[],2, FALSE)*D382, "")</f>
        <v>69.300000000000011</v>
      </c>
    </row>
    <row r="383" spans="1:6" x14ac:dyDescent="0.25">
      <c r="A383" s="221">
        <v>45987</v>
      </c>
      <c r="B383" s="222">
        <v>17</v>
      </c>
      <c r="C383" s="223" t="s">
        <v>37</v>
      </c>
      <c r="D383" s="224">
        <v>10.9</v>
      </c>
      <c r="E383" s="224">
        <v>6.8</v>
      </c>
      <c r="F383" s="42">
        <f>IFERROR(VLOOKUP(E383, Table2[],2, FALSE)*D383, "")</f>
        <v>555.9</v>
      </c>
    </row>
    <row r="384" spans="1:6" x14ac:dyDescent="0.25">
      <c r="A384" s="155">
        <v>45975</v>
      </c>
      <c r="B384" s="156">
        <v>15</v>
      </c>
      <c r="C384" s="129" t="s">
        <v>37</v>
      </c>
      <c r="D384" s="130">
        <v>12.1</v>
      </c>
      <c r="E384" s="130">
        <v>7.1</v>
      </c>
      <c r="F384" s="42">
        <f>IFERROR(VLOOKUP(E384, Table2[],2, FALSE)*D384, "")</f>
        <v>644.32499999999993</v>
      </c>
    </row>
    <row r="385" spans="1:6" x14ac:dyDescent="0.25">
      <c r="A385" s="221">
        <v>45988</v>
      </c>
      <c r="B385" s="222">
        <v>13</v>
      </c>
      <c r="C385" s="223" t="s">
        <v>37</v>
      </c>
      <c r="D385" s="224">
        <v>3.7</v>
      </c>
      <c r="E385" s="224">
        <v>8</v>
      </c>
      <c r="F385" s="42">
        <f>IFERROR(VLOOKUP(E385, Table2[],2, FALSE)*D385, "")</f>
        <v>222</v>
      </c>
    </row>
    <row r="386" spans="1:6" x14ac:dyDescent="0.25">
      <c r="A386" s="155">
        <v>45975</v>
      </c>
      <c r="B386" s="156">
        <v>14</v>
      </c>
      <c r="C386" s="129" t="s">
        <v>37</v>
      </c>
      <c r="D386" s="130">
        <v>1.3</v>
      </c>
      <c r="E386" s="130">
        <v>8.3000000000000007</v>
      </c>
      <c r="F386" s="42">
        <f>IFERROR(VLOOKUP(E386, Table2[],2, FALSE)*D386, "")</f>
        <v>80.924999999999997</v>
      </c>
    </row>
    <row r="387" spans="1:6" x14ac:dyDescent="0.25">
      <c r="A387" s="221">
        <v>45978</v>
      </c>
      <c r="B387" s="222">
        <v>12</v>
      </c>
      <c r="C387" s="223" t="s">
        <v>37</v>
      </c>
      <c r="D387" s="224">
        <v>4.5999999999999996</v>
      </c>
      <c r="E387" s="224">
        <v>6.5</v>
      </c>
      <c r="F387" s="42">
        <f>IFERROR(VLOOKUP(E387, Table2[],2, FALSE)*D387, "")</f>
        <v>224.24999999999997</v>
      </c>
    </row>
    <row r="388" spans="1:6" x14ac:dyDescent="0.25">
      <c r="A388" s="221">
        <v>45988</v>
      </c>
      <c r="B388" s="222">
        <v>4</v>
      </c>
      <c r="C388" s="223" t="s">
        <v>37</v>
      </c>
      <c r="D388" s="224">
        <v>15</v>
      </c>
      <c r="E388" s="224">
        <v>6.8</v>
      </c>
      <c r="F388" s="42">
        <f>IFERROR(VLOOKUP(E388, Table2[],2, FALSE)*D388, "")</f>
        <v>765</v>
      </c>
    </row>
    <row r="389" spans="1:6" x14ac:dyDescent="0.25">
      <c r="A389" s="155">
        <v>45975</v>
      </c>
      <c r="B389" s="156">
        <v>11</v>
      </c>
      <c r="C389" s="129" t="s">
        <v>37</v>
      </c>
      <c r="D389" s="130">
        <v>2</v>
      </c>
      <c r="E389" s="130">
        <v>9.4</v>
      </c>
      <c r="F389" s="42">
        <f>IFERROR(VLOOKUP(E389, Table2[],2, FALSE)*D389, "")</f>
        <v>141</v>
      </c>
    </row>
    <row r="390" spans="1:6" x14ac:dyDescent="0.25">
      <c r="A390" s="221">
        <v>45988</v>
      </c>
      <c r="B390" s="222">
        <v>10</v>
      </c>
      <c r="C390" s="223" t="s">
        <v>37</v>
      </c>
      <c r="D390" s="224">
        <v>8.1</v>
      </c>
      <c r="E390" s="224">
        <v>8.1999999999999993</v>
      </c>
      <c r="F390" s="42">
        <f>IFERROR(VLOOKUP(E390, Table2[],2, FALSE)*D390, "")</f>
        <v>498.15</v>
      </c>
    </row>
    <row r="391" spans="1:6" x14ac:dyDescent="0.25">
      <c r="A391" s="221">
        <v>45989</v>
      </c>
      <c r="B391" s="222">
        <v>6</v>
      </c>
      <c r="C391" s="223" t="s">
        <v>37</v>
      </c>
      <c r="D391" s="224">
        <v>9.5</v>
      </c>
      <c r="E391" s="224">
        <v>8</v>
      </c>
      <c r="F391" s="42">
        <f>IFERROR(VLOOKUP(E391, Table2[],2, FALSE)*D391, "")</f>
        <v>570</v>
      </c>
    </row>
    <row r="392" spans="1:6" x14ac:dyDescent="0.25">
      <c r="A392" s="221">
        <v>45989</v>
      </c>
      <c r="B392" s="222">
        <v>8</v>
      </c>
      <c r="C392" s="223" t="s">
        <v>37</v>
      </c>
      <c r="D392" s="224">
        <v>6.6</v>
      </c>
      <c r="E392" s="224">
        <v>6.4</v>
      </c>
      <c r="F392" s="42">
        <f>IFERROR(VLOOKUP(E392, Table2[],2, FALSE)*D392, "")</f>
        <v>316.79999999999995</v>
      </c>
    </row>
    <row r="393" spans="1:6" x14ac:dyDescent="0.25">
      <c r="A393" s="155">
        <v>45974</v>
      </c>
      <c r="B393" s="156">
        <v>1</v>
      </c>
      <c r="C393" s="129" t="s">
        <v>27</v>
      </c>
      <c r="D393" s="130">
        <v>5.0999999999999996</v>
      </c>
      <c r="E393" s="130">
        <v>6.7</v>
      </c>
      <c r="F393" s="42">
        <f>IFERROR(VLOOKUP(E393, Table2[],2, FALSE)*D393, "")</f>
        <v>256.27499999999998</v>
      </c>
    </row>
    <row r="394" spans="1:6" x14ac:dyDescent="0.25">
      <c r="A394" s="221">
        <v>45988</v>
      </c>
      <c r="B394" s="222">
        <v>9</v>
      </c>
      <c r="C394" s="223" t="s">
        <v>37</v>
      </c>
      <c r="D394" s="224">
        <v>1</v>
      </c>
      <c r="E394" s="224">
        <v>8.4</v>
      </c>
      <c r="F394" s="42">
        <f>IFERROR(VLOOKUP(E394, Table2[],2, FALSE)*D394, "")</f>
        <v>63</v>
      </c>
    </row>
    <row r="395" spans="1:6" x14ac:dyDescent="0.25">
      <c r="A395" s="221">
        <v>45989</v>
      </c>
      <c r="B395" s="222">
        <v>3</v>
      </c>
      <c r="C395" s="223" t="s">
        <v>37</v>
      </c>
      <c r="D395" s="224">
        <v>4.9000000000000004</v>
      </c>
      <c r="E395" s="224">
        <v>7</v>
      </c>
      <c r="F395" s="42">
        <f>IFERROR(VLOOKUP(E395, Table2[],2, FALSE)*D395, "")</f>
        <v>257.25</v>
      </c>
    </row>
    <row r="396" spans="1:6" x14ac:dyDescent="0.25">
      <c r="A396" s="221">
        <v>45989</v>
      </c>
      <c r="B396" s="222">
        <v>13</v>
      </c>
      <c r="C396" s="223" t="s">
        <v>37</v>
      </c>
      <c r="D396" s="224">
        <v>3.7</v>
      </c>
      <c r="E396" s="224">
        <v>8.6</v>
      </c>
      <c r="F396" s="42">
        <f>IFERROR(VLOOKUP(E396, Table2[],2, FALSE)*D396, "")</f>
        <v>238.65</v>
      </c>
    </row>
    <row r="397" spans="1:6" x14ac:dyDescent="0.25">
      <c r="A397" s="221">
        <v>45988</v>
      </c>
      <c r="B397" s="222">
        <v>16</v>
      </c>
      <c r="C397" s="223" t="s">
        <v>37</v>
      </c>
      <c r="D397" s="224">
        <v>2.4</v>
      </c>
      <c r="E397" s="224">
        <v>7.3</v>
      </c>
      <c r="F397" s="42">
        <f>IFERROR(VLOOKUP(E397, Table2[],2, FALSE)*D397, "")</f>
        <v>131.4</v>
      </c>
    </row>
    <row r="398" spans="1:6" x14ac:dyDescent="0.25">
      <c r="A398" s="221">
        <v>45988</v>
      </c>
      <c r="B398" s="222">
        <v>17</v>
      </c>
      <c r="C398" s="223" t="s">
        <v>37</v>
      </c>
      <c r="D398" s="224">
        <v>11.1</v>
      </c>
      <c r="E398" s="224">
        <v>6.3</v>
      </c>
      <c r="F398" s="42">
        <f>IFERROR(VLOOKUP(E398, Table2[],2, FALSE)*D398, "")</f>
        <v>524.47500000000002</v>
      </c>
    </row>
    <row r="399" spans="1:6" x14ac:dyDescent="0.25">
      <c r="A399" s="221">
        <v>45989</v>
      </c>
      <c r="B399" s="222">
        <v>4</v>
      </c>
      <c r="C399" s="223" t="s">
        <v>37</v>
      </c>
      <c r="D399" s="224">
        <v>15.7</v>
      </c>
      <c r="E399" s="224">
        <v>6.6</v>
      </c>
      <c r="F399" s="42">
        <f>IFERROR(VLOOKUP(E399, Table2[],2, FALSE)*D399, "")</f>
        <v>777.15</v>
      </c>
    </row>
    <row r="400" spans="1:6" x14ac:dyDescent="0.25">
      <c r="A400" s="221">
        <v>45989</v>
      </c>
      <c r="B400" s="222">
        <v>10</v>
      </c>
      <c r="C400" s="223" t="s">
        <v>37</v>
      </c>
      <c r="D400" s="224">
        <v>9.4</v>
      </c>
      <c r="E400" s="224">
        <v>8.4</v>
      </c>
      <c r="F400" s="42">
        <f>IFERROR(VLOOKUP(E400, Table2[],2, FALSE)*D400, "")</f>
        <v>592.20000000000005</v>
      </c>
    </row>
    <row r="401" spans="1:6" x14ac:dyDescent="0.25">
      <c r="A401" s="221">
        <v>45990</v>
      </c>
      <c r="B401" s="222">
        <v>6</v>
      </c>
      <c r="C401" s="223" t="s">
        <v>37</v>
      </c>
      <c r="D401" s="224">
        <v>10.8</v>
      </c>
      <c r="E401" s="224">
        <v>7.3</v>
      </c>
      <c r="F401" s="42">
        <f>IFERROR(VLOOKUP(E401, Table2[],2, FALSE)*D401, "")</f>
        <v>591.30000000000007</v>
      </c>
    </row>
    <row r="402" spans="1:6" x14ac:dyDescent="0.25">
      <c r="A402" s="221">
        <v>45990</v>
      </c>
      <c r="B402" s="222">
        <v>3</v>
      </c>
      <c r="C402" s="223" t="s">
        <v>37</v>
      </c>
      <c r="D402" s="224">
        <v>5.2</v>
      </c>
      <c r="E402" s="224">
        <v>7.2</v>
      </c>
      <c r="F402" s="42">
        <f>IFERROR(VLOOKUP(E402, Table2[],2, FALSE)*D402, "")</f>
        <v>280.8</v>
      </c>
    </row>
    <row r="403" spans="1:6" x14ac:dyDescent="0.25">
      <c r="A403" s="221">
        <v>45989</v>
      </c>
      <c r="B403" s="222">
        <v>16</v>
      </c>
      <c r="C403" s="223" t="s">
        <v>37</v>
      </c>
      <c r="D403" s="224">
        <v>2.2999999999999998</v>
      </c>
      <c r="E403" s="224">
        <v>7.3</v>
      </c>
      <c r="F403" s="42">
        <f>IFERROR(VLOOKUP(E403, Table2[],2, FALSE)*D403, "")</f>
        <v>125.925</v>
      </c>
    </row>
    <row r="404" spans="1:6" x14ac:dyDescent="0.25">
      <c r="A404" s="221">
        <v>45989</v>
      </c>
      <c r="B404" s="222">
        <v>17</v>
      </c>
      <c r="C404" s="223" t="s">
        <v>37</v>
      </c>
      <c r="D404" s="224">
        <v>10.6</v>
      </c>
      <c r="E404" s="224">
        <v>6.6</v>
      </c>
      <c r="F404" s="42">
        <f>IFERROR(VLOOKUP(E404, Table2[],2, FALSE)*D404, "")</f>
        <v>524.69999999999993</v>
      </c>
    </row>
    <row r="405" spans="1:6" x14ac:dyDescent="0.25">
      <c r="A405" s="221">
        <v>45989</v>
      </c>
      <c r="B405" s="222">
        <v>9</v>
      </c>
      <c r="C405" s="223" t="s">
        <v>37</v>
      </c>
      <c r="D405" s="224">
        <v>1.2</v>
      </c>
      <c r="E405" s="224">
        <v>8.4</v>
      </c>
      <c r="F405" s="42">
        <f>IFERROR(VLOOKUP(E405, Table2[],2, FALSE)*D405, "")</f>
        <v>75.599999999999994</v>
      </c>
    </row>
    <row r="406" spans="1:6" x14ac:dyDescent="0.25">
      <c r="A406" s="221">
        <v>45990</v>
      </c>
      <c r="B406" s="222">
        <v>13</v>
      </c>
      <c r="C406" s="223" t="s">
        <v>37</v>
      </c>
      <c r="D406" s="224">
        <v>3.4</v>
      </c>
      <c r="E406" s="224">
        <v>8.6999999999999993</v>
      </c>
      <c r="F406" s="42">
        <f>IFERROR(VLOOKUP(E406, Table2[],2, FALSE)*D406, "")</f>
        <v>221.85</v>
      </c>
    </row>
    <row r="407" spans="1:6" x14ac:dyDescent="0.25">
      <c r="A407" s="155">
        <v>45976</v>
      </c>
      <c r="B407" s="156">
        <v>14</v>
      </c>
      <c r="C407" s="129" t="s">
        <v>37</v>
      </c>
      <c r="D407" s="130">
        <v>1.4</v>
      </c>
      <c r="E407" s="130">
        <v>8.3000000000000007</v>
      </c>
      <c r="F407" s="42">
        <f>IFERROR(VLOOKUP(E407, Table2[],2, FALSE)*D407, "")</f>
        <v>87.149999999999991</v>
      </c>
    </row>
    <row r="408" spans="1:6" x14ac:dyDescent="0.25">
      <c r="A408" s="221">
        <v>45977</v>
      </c>
      <c r="B408" s="222">
        <v>5</v>
      </c>
      <c r="C408" s="223" t="s">
        <v>37</v>
      </c>
      <c r="D408" s="224">
        <v>2</v>
      </c>
      <c r="E408" s="224">
        <v>10</v>
      </c>
      <c r="F408" s="42">
        <f>IFERROR(VLOOKUP(E408, Table2[],2, FALSE)*D408, "")</f>
        <v>150</v>
      </c>
    </row>
    <row r="409" spans="1:6" x14ac:dyDescent="0.25">
      <c r="A409" s="155">
        <v>45975</v>
      </c>
      <c r="B409" s="156">
        <v>1</v>
      </c>
      <c r="C409" s="129" t="s">
        <v>27</v>
      </c>
      <c r="D409" s="130">
        <v>4.7</v>
      </c>
      <c r="E409" s="130">
        <v>7.2</v>
      </c>
      <c r="F409" s="42">
        <f>IFERROR(VLOOKUP(E409, Table2[],2, FALSE)*D409, "")</f>
        <v>253.8</v>
      </c>
    </row>
    <row r="410" spans="1:6" x14ac:dyDescent="0.25">
      <c r="A410" s="221">
        <v>45990</v>
      </c>
      <c r="B410" s="222">
        <v>8</v>
      </c>
      <c r="C410" s="223" t="s">
        <v>37</v>
      </c>
      <c r="D410" s="224">
        <v>7.1</v>
      </c>
      <c r="E410" s="224">
        <v>6.8</v>
      </c>
      <c r="F410" s="42">
        <f>IFERROR(VLOOKUP(E410, Table2[],2, FALSE)*D410, "")</f>
        <v>362.09999999999997</v>
      </c>
    </row>
    <row r="411" spans="1:6" x14ac:dyDescent="0.25">
      <c r="A411" s="221">
        <v>45990</v>
      </c>
      <c r="B411" s="222">
        <v>4</v>
      </c>
      <c r="C411" s="223" t="s">
        <v>37</v>
      </c>
      <c r="D411" s="224">
        <v>14.4</v>
      </c>
      <c r="E411" s="224">
        <v>6.8</v>
      </c>
      <c r="F411" s="42">
        <f>IFERROR(VLOOKUP(E411, Table2[],2, FALSE)*D411, "")</f>
        <v>734.4</v>
      </c>
    </row>
    <row r="412" spans="1:6" x14ac:dyDescent="0.25">
      <c r="A412" s="221">
        <v>45979</v>
      </c>
      <c r="B412" s="222">
        <v>12</v>
      </c>
      <c r="C412" s="223" t="s">
        <v>37</v>
      </c>
      <c r="D412" s="224">
        <v>3.9</v>
      </c>
      <c r="E412" s="224">
        <v>6.4</v>
      </c>
      <c r="F412" s="42">
        <f>IFERROR(VLOOKUP(E412, Table2[],2, FALSE)*D412, "")</f>
        <v>187.2</v>
      </c>
    </row>
    <row r="413" spans="1:6" x14ac:dyDescent="0.25">
      <c r="A413" s="221">
        <v>45990</v>
      </c>
      <c r="B413" s="222">
        <v>10</v>
      </c>
      <c r="C413" s="223" t="s">
        <v>37</v>
      </c>
      <c r="D413" s="224">
        <v>9</v>
      </c>
      <c r="E413" s="224">
        <v>8.1999999999999993</v>
      </c>
      <c r="F413" s="42">
        <f>IFERROR(VLOOKUP(E413, Table2[],2, FALSE)*D413, "")</f>
        <v>553.5</v>
      </c>
    </row>
    <row r="414" spans="1:6" x14ac:dyDescent="0.25">
      <c r="A414" s="155">
        <v>45976</v>
      </c>
      <c r="B414" s="156">
        <v>2</v>
      </c>
      <c r="C414" s="129" t="s">
        <v>37</v>
      </c>
      <c r="D414" s="130">
        <v>1.2</v>
      </c>
      <c r="E414" s="130">
        <v>10</v>
      </c>
      <c r="F414" s="42">
        <f>IFERROR(VLOOKUP(E414, Table2[],2, FALSE)*D414, "")</f>
        <v>90</v>
      </c>
    </row>
    <row r="415" spans="1:6" x14ac:dyDescent="0.25">
      <c r="A415" s="221">
        <v>45990</v>
      </c>
      <c r="B415" s="222">
        <v>17</v>
      </c>
      <c r="C415" s="223" t="s">
        <v>37</v>
      </c>
      <c r="D415" s="224">
        <v>8.9</v>
      </c>
      <c r="E415" s="224">
        <v>6.2</v>
      </c>
      <c r="F415" s="42">
        <f>IFERROR(VLOOKUP(E415, Table2[],2, FALSE)*D415, "")</f>
        <v>413.85</v>
      </c>
    </row>
    <row r="416" spans="1:6" x14ac:dyDescent="0.25">
      <c r="A416" s="155">
        <v>45976</v>
      </c>
      <c r="B416" s="156">
        <v>11</v>
      </c>
      <c r="C416" s="129" t="s">
        <v>37</v>
      </c>
      <c r="D416" s="130">
        <v>1.6</v>
      </c>
      <c r="E416" s="130">
        <v>9.6</v>
      </c>
      <c r="F416" s="42">
        <f>IFERROR(VLOOKUP(E416, Table2[],2, FALSE)*D416, "")</f>
        <v>115.2</v>
      </c>
    </row>
    <row r="417" spans="1:6" x14ac:dyDescent="0.25">
      <c r="A417" s="155">
        <v>45976</v>
      </c>
      <c r="B417" s="156">
        <v>15</v>
      </c>
      <c r="C417" s="129" t="s">
        <v>37</v>
      </c>
      <c r="D417" s="130">
        <v>10.7</v>
      </c>
      <c r="E417" s="130">
        <v>7.3</v>
      </c>
      <c r="F417" s="42">
        <f>IFERROR(VLOOKUP(E417, Table2[],2, FALSE)*D417, "")</f>
        <v>585.82499999999993</v>
      </c>
    </row>
    <row r="418" spans="1:6" x14ac:dyDescent="0.25">
      <c r="A418" s="221">
        <v>45991</v>
      </c>
      <c r="B418" s="222">
        <v>6</v>
      </c>
      <c r="C418" s="223" t="s">
        <v>37</v>
      </c>
      <c r="D418" s="224">
        <v>11.1</v>
      </c>
      <c r="E418" s="224">
        <v>7</v>
      </c>
      <c r="F418" s="42">
        <f>IFERROR(VLOOKUP(E418, Table2[],2, FALSE)*D418, "")</f>
        <v>582.75</v>
      </c>
    </row>
    <row r="419" spans="1:6" x14ac:dyDescent="0.25">
      <c r="A419" s="155">
        <v>45976</v>
      </c>
      <c r="B419" s="156">
        <v>1</v>
      </c>
      <c r="C419" s="129" t="s">
        <v>27</v>
      </c>
      <c r="D419" s="130">
        <v>6.9</v>
      </c>
      <c r="E419" s="130">
        <v>6.5</v>
      </c>
      <c r="F419" s="42">
        <f>IFERROR(VLOOKUP(E419, Table2[],2, FALSE)*D419, "")</f>
        <v>336.375</v>
      </c>
    </row>
    <row r="420" spans="1:6" x14ac:dyDescent="0.25">
      <c r="A420" s="221">
        <v>45980</v>
      </c>
      <c r="B420" s="222">
        <v>12</v>
      </c>
      <c r="C420" s="223" t="s">
        <v>37</v>
      </c>
      <c r="D420" s="224">
        <v>4.2</v>
      </c>
      <c r="E420" s="224">
        <v>6.5</v>
      </c>
      <c r="F420" s="42">
        <f>IFERROR(VLOOKUP(E420, Table2[],2, FALSE)*D420, "")</f>
        <v>204.75</v>
      </c>
    </row>
    <row r="421" spans="1:6" x14ac:dyDescent="0.25">
      <c r="A421" s="221">
        <v>45990</v>
      </c>
      <c r="B421" s="222">
        <v>9</v>
      </c>
      <c r="C421" s="223" t="s">
        <v>37</v>
      </c>
      <c r="D421" s="224">
        <v>1</v>
      </c>
      <c r="E421" s="224">
        <v>7.9</v>
      </c>
      <c r="F421" s="42">
        <f>IFERROR(VLOOKUP(E421, Table2[],2, FALSE)*D421, "")</f>
        <v>59.25</v>
      </c>
    </row>
    <row r="422" spans="1:6" x14ac:dyDescent="0.25">
      <c r="A422" s="221">
        <v>45991</v>
      </c>
      <c r="B422" s="222">
        <v>3</v>
      </c>
      <c r="C422" s="223" t="s">
        <v>37</v>
      </c>
      <c r="D422" s="224">
        <v>4.9000000000000004</v>
      </c>
      <c r="E422" s="224">
        <v>7</v>
      </c>
      <c r="F422" s="42">
        <f>IFERROR(VLOOKUP(E422, Table2[],2, FALSE)*D422, "")</f>
        <v>257.25</v>
      </c>
    </row>
    <row r="423" spans="1:6" x14ac:dyDescent="0.25">
      <c r="A423" s="221">
        <v>45991</v>
      </c>
      <c r="B423" s="222">
        <v>13</v>
      </c>
      <c r="C423" s="223" t="s">
        <v>37</v>
      </c>
      <c r="D423" s="224">
        <v>4.3</v>
      </c>
      <c r="E423" s="224">
        <v>9</v>
      </c>
      <c r="F423" s="42">
        <f>IFERROR(VLOOKUP(E423, Table2[],2, FALSE)*D423, "")</f>
        <v>290.25</v>
      </c>
    </row>
    <row r="424" spans="1:6" x14ac:dyDescent="0.25">
      <c r="A424" s="221">
        <v>45990</v>
      </c>
      <c r="B424" s="222">
        <v>16</v>
      </c>
      <c r="C424" s="223" t="s">
        <v>37</v>
      </c>
      <c r="D424" s="224">
        <v>2.4</v>
      </c>
      <c r="E424" s="224">
        <v>7</v>
      </c>
      <c r="F424" s="42">
        <f>IFERROR(VLOOKUP(E424, Table2[],2, FALSE)*D424, "")</f>
        <v>126</v>
      </c>
    </row>
    <row r="425" spans="1:6" x14ac:dyDescent="0.25">
      <c r="A425" s="221">
        <v>45991</v>
      </c>
      <c r="B425" s="222">
        <v>8</v>
      </c>
      <c r="C425" s="223" t="s">
        <v>37</v>
      </c>
      <c r="D425" s="224">
        <v>7.1</v>
      </c>
      <c r="E425" s="224">
        <v>6.5</v>
      </c>
      <c r="F425" s="42">
        <f>IFERROR(VLOOKUP(E425, Table2[],2, FALSE)*D425, "")</f>
        <v>346.125</v>
      </c>
    </row>
    <row r="426" spans="1:6" x14ac:dyDescent="0.25">
      <c r="A426" s="221">
        <v>45991</v>
      </c>
      <c r="B426" s="222">
        <v>17</v>
      </c>
      <c r="C426" s="223" t="s">
        <v>37</v>
      </c>
      <c r="D426" s="224">
        <v>11.1</v>
      </c>
      <c r="E426" s="224">
        <v>6</v>
      </c>
      <c r="F426" s="42">
        <f>IFERROR(VLOOKUP(E426, Table2[],2, FALSE)*D426, "")</f>
        <v>499.5</v>
      </c>
    </row>
    <row r="427" spans="1:6" x14ac:dyDescent="0.25">
      <c r="A427" s="221">
        <v>45991</v>
      </c>
      <c r="B427" s="222">
        <v>10</v>
      </c>
      <c r="C427" s="223" t="s">
        <v>37</v>
      </c>
      <c r="D427" s="224">
        <v>7.4</v>
      </c>
      <c r="E427" s="224">
        <v>7.4</v>
      </c>
      <c r="F427" s="42">
        <f>IFERROR(VLOOKUP(E427, Table2[],2, FALSE)*D427, "")</f>
        <v>410.70000000000005</v>
      </c>
    </row>
    <row r="428" spans="1:6" x14ac:dyDescent="0.25">
      <c r="A428" s="155">
        <v>45976</v>
      </c>
      <c r="B428" s="156">
        <v>11</v>
      </c>
      <c r="C428" s="129" t="s">
        <v>27</v>
      </c>
      <c r="D428" s="130">
        <v>2</v>
      </c>
      <c r="E428" s="130">
        <v>9.6</v>
      </c>
      <c r="F428" s="42">
        <f>IFERROR(VLOOKUP(E428, Table2[],2, FALSE)*D428, "")</f>
        <v>144</v>
      </c>
    </row>
    <row r="429" spans="1:6" x14ac:dyDescent="0.25">
      <c r="A429" s="221">
        <v>45991</v>
      </c>
      <c r="B429" s="222">
        <v>4</v>
      </c>
      <c r="C429" s="223" t="s">
        <v>37</v>
      </c>
      <c r="D429" s="224">
        <v>12.8</v>
      </c>
      <c r="E429" s="224">
        <v>6.5</v>
      </c>
      <c r="F429" s="42">
        <f>IFERROR(VLOOKUP(E429, Table2[],2, FALSE)*D429, "")</f>
        <v>624</v>
      </c>
    </row>
    <row r="430" spans="1:6" x14ac:dyDescent="0.25">
      <c r="A430" s="221">
        <v>45991</v>
      </c>
      <c r="B430" s="222">
        <v>16</v>
      </c>
      <c r="C430" s="223" t="s">
        <v>37</v>
      </c>
      <c r="D430" s="224">
        <v>2.4</v>
      </c>
      <c r="E430" s="224">
        <v>6.5</v>
      </c>
      <c r="F430" s="42">
        <f>IFERROR(VLOOKUP(E430, Table2[],2, FALSE)*D430, "")</f>
        <v>117</v>
      </c>
    </row>
    <row r="431" spans="1:6" x14ac:dyDescent="0.25">
      <c r="A431" s="155">
        <v>45962</v>
      </c>
      <c r="B431" s="156">
        <v>3</v>
      </c>
      <c r="C431" s="129" t="s">
        <v>27</v>
      </c>
      <c r="D431" s="130">
        <v>3.8</v>
      </c>
      <c r="E431" s="130">
        <v>6.5</v>
      </c>
      <c r="F431" s="42">
        <f>IFERROR(VLOOKUP(E431, Table2[],2, FALSE)*D431, "")</f>
        <v>185.25</v>
      </c>
    </row>
    <row r="432" spans="1:6" x14ac:dyDescent="0.25">
      <c r="A432" s="155">
        <v>45962</v>
      </c>
      <c r="B432" s="156">
        <v>13</v>
      </c>
      <c r="C432" s="129" t="s">
        <v>27</v>
      </c>
      <c r="D432" s="130">
        <v>1.6</v>
      </c>
      <c r="E432" s="130">
        <v>7.6</v>
      </c>
      <c r="F432" s="42">
        <f>IFERROR(VLOOKUP(E432, Table2[],2, FALSE)*D432, "")</f>
        <v>91.2</v>
      </c>
    </row>
    <row r="433" spans="1:6" x14ac:dyDescent="0.25">
      <c r="A433" s="221">
        <v>45977</v>
      </c>
      <c r="B433" s="222">
        <v>14</v>
      </c>
      <c r="C433" s="223" t="s">
        <v>37</v>
      </c>
      <c r="D433" s="224">
        <v>1.3</v>
      </c>
      <c r="E433" s="224">
        <v>8.5</v>
      </c>
      <c r="F433" s="42">
        <f>IFERROR(VLOOKUP(E433, Table2[],2, FALSE)*D433, "")</f>
        <v>82.875</v>
      </c>
    </row>
    <row r="434" spans="1:6" x14ac:dyDescent="0.25">
      <c r="A434" s="221">
        <v>45977</v>
      </c>
      <c r="B434" s="222">
        <v>1</v>
      </c>
      <c r="C434" s="223" t="s">
        <v>37</v>
      </c>
      <c r="D434" s="224">
        <v>3.1</v>
      </c>
      <c r="E434" s="224">
        <v>8</v>
      </c>
      <c r="F434" s="42">
        <f>IFERROR(VLOOKUP(E434, Table2[],2, FALSE)*D434, "")</f>
        <v>186</v>
      </c>
    </row>
    <row r="435" spans="1:6" x14ac:dyDescent="0.25">
      <c r="A435" s="155">
        <v>45962</v>
      </c>
      <c r="B435" s="156">
        <v>6</v>
      </c>
      <c r="C435" s="129" t="s">
        <v>27</v>
      </c>
      <c r="D435" s="130">
        <v>7.6</v>
      </c>
      <c r="E435" s="130">
        <v>5.7</v>
      </c>
      <c r="F435" s="42">
        <f>IFERROR(VLOOKUP(E435, Table2[],2, FALSE)*D435, "")</f>
        <v>324.89999999999998</v>
      </c>
    </row>
    <row r="436" spans="1:6" x14ac:dyDescent="0.25">
      <c r="A436" s="221">
        <v>45978</v>
      </c>
      <c r="B436" s="222">
        <v>5</v>
      </c>
      <c r="C436" s="223" t="s">
        <v>37</v>
      </c>
      <c r="D436" s="224">
        <v>1.7</v>
      </c>
      <c r="E436" s="224">
        <v>10</v>
      </c>
      <c r="F436" s="42">
        <f>IFERROR(VLOOKUP(E436, Table2[],2, FALSE)*D436, "")</f>
        <v>127.5</v>
      </c>
    </row>
    <row r="437" spans="1:6" x14ac:dyDescent="0.25">
      <c r="A437" s="221">
        <v>45991</v>
      </c>
      <c r="B437" s="222">
        <v>9</v>
      </c>
      <c r="C437" s="223" t="s">
        <v>37</v>
      </c>
      <c r="D437" s="224">
        <v>0.9</v>
      </c>
      <c r="E437" s="224">
        <v>7.9</v>
      </c>
      <c r="F437" s="42">
        <f>IFERROR(VLOOKUP(E437, Table2[],2, FALSE)*D437, "")</f>
        <v>53.325000000000003</v>
      </c>
    </row>
    <row r="438" spans="1:6" x14ac:dyDescent="0.25">
      <c r="A438" s="221">
        <v>45981</v>
      </c>
      <c r="B438" s="222">
        <v>12</v>
      </c>
      <c r="C438" s="223" t="s">
        <v>37</v>
      </c>
      <c r="D438" s="224">
        <v>4.3</v>
      </c>
      <c r="E438" s="224">
        <v>6</v>
      </c>
      <c r="F438" s="42">
        <f>IFERROR(VLOOKUP(E438, Table2[],2, FALSE)*D438, "")</f>
        <v>193.5</v>
      </c>
    </row>
    <row r="439" spans="1:6" x14ac:dyDescent="0.25">
      <c r="A439" s="155">
        <v>45962</v>
      </c>
      <c r="B439" s="156">
        <v>8</v>
      </c>
      <c r="C439" s="129" t="s">
        <v>27</v>
      </c>
      <c r="D439" s="130">
        <v>4.8</v>
      </c>
      <c r="E439" s="130">
        <v>5.9</v>
      </c>
      <c r="F439" s="42">
        <f>IFERROR(VLOOKUP(E439, Table2[],2, FALSE)*D439, "")</f>
        <v>212.4</v>
      </c>
    </row>
    <row r="440" spans="1:6" x14ac:dyDescent="0.25">
      <c r="A440" s="221">
        <v>45985</v>
      </c>
      <c r="B440" s="222">
        <v>7</v>
      </c>
      <c r="C440" s="223" t="s">
        <v>37</v>
      </c>
      <c r="D440" s="224">
        <v>1.6</v>
      </c>
      <c r="E440" s="224">
        <v>6.7</v>
      </c>
      <c r="F440" s="42">
        <f>IFERROR(VLOOKUP(E440, Table2[],2, FALSE)*D440, "")</f>
        <v>80.400000000000006</v>
      </c>
    </row>
    <row r="441" spans="1:6" x14ac:dyDescent="0.25">
      <c r="A441" s="155">
        <v>45962</v>
      </c>
      <c r="B441" s="156">
        <v>4</v>
      </c>
      <c r="C441" s="129" t="s">
        <v>27</v>
      </c>
      <c r="D441" s="130">
        <v>13.9</v>
      </c>
      <c r="E441" s="130">
        <v>5.5</v>
      </c>
      <c r="F441" s="42">
        <f>IFERROR(VLOOKUP(E441, Table2[],2, FALSE)*D441, "")</f>
        <v>573.375</v>
      </c>
    </row>
    <row r="442" spans="1:6" x14ac:dyDescent="0.25">
      <c r="A442" s="221">
        <v>45977</v>
      </c>
      <c r="B442" s="222">
        <v>2</v>
      </c>
      <c r="C442" s="223" t="s">
        <v>37</v>
      </c>
      <c r="D442" s="224">
        <v>1.5</v>
      </c>
      <c r="E442" s="224">
        <v>10</v>
      </c>
      <c r="F442" s="42">
        <f>IFERROR(VLOOKUP(E442, Table2[],2, FALSE)*D442, "")</f>
        <v>112.5</v>
      </c>
    </row>
    <row r="443" spans="1:6" x14ac:dyDescent="0.25">
      <c r="A443" s="221">
        <v>45977</v>
      </c>
      <c r="B443" s="222">
        <v>15</v>
      </c>
      <c r="C443" s="223" t="s">
        <v>37</v>
      </c>
      <c r="D443" s="224">
        <v>11.2</v>
      </c>
      <c r="E443" s="224">
        <v>7.2</v>
      </c>
      <c r="F443" s="42">
        <f>IFERROR(VLOOKUP(E443, Table2[],2, FALSE)*D443, "")</f>
        <v>604.79999999999995</v>
      </c>
    </row>
    <row r="444" spans="1:6" x14ac:dyDescent="0.25">
      <c r="A444" s="155">
        <v>45962</v>
      </c>
      <c r="B444" s="156">
        <v>17</v>
      </c>
      <c r="C444" s="129" t="s">
        <v>27</v>
      </c>
      <c r="D444" s="130">
        <v>3</v>
      </c>
      <c r="E444" s="130">
        <v>5.6</v>
      </c>
      <c r="F444" s="42">
        <f>IFERROR(VLOOKUP(E444, Table2[],2, FALSE)*D444, "")</f>
        <v>126</v>
      </c>
    </row>
    <row r="445" spans="1:6" x14ac:dyDescent="0.25">
      <c r="A445" s="155">
        <v>45962</v>
      </c>
      <c r="B445" s="156">
        <v>10</v>
      </c>
      <c r="C445" s="129" t="s">
        <v>27</v>
      </c>
      <c r="D445" s="130">
        <v>5.0999999999999996</v>
      </c>
      <c r="E445" s="130">
        <v>8</v>
      </c>
      <c r="F445" s="42">
        <f>IFERROR(VLOOKUP(E445, Table2[],2, FALSE)*D445, "")</f>
        <v>306</v>
      </c>
    </row>
    <row r="446" spans="1:6" x14ac:dyDescent="0.25">
      <c r="A446" s="221">
        <v>45977</v>
      </c>
      <c r="B446" s="222">
        <v>11</v>
      </c>
      <c r="C446" s="223" t="s">
        <v>37</v>
      </c>
      <c r="D446" s="224">
        <v>1.7</v>
      </c>
      <c r="E446" s="224">
        <v>9.6</v>
      </c>
      <c r="F446" s="42">
        <f>IFERROR(VLOOKUP(E446, Table2[],2, FALSE)*D446, "")</f>
        <v>122.39999999999999</v>
      </c>
    </row>
    <row r="447" spans="1:6" x14ac:dyDescent="0.25">
      <c r="A447" s="155">
        <v>45963</v>
      </c>
      <c r="B447" s="156">
        <v>6</v>
      </c>
      <c r="C447" s="129" t="s">
        <v>27</v>
      </c>
      <c r="D447" s="130">
        <v>7.1</v>
      </c>
      <c r="E447" s="130">
        <v>6</v>
      </c>
      <c r="F447" s="42">
        <f>IFERROR(VLOOKUP(E447, Table2[],2, FALSE)*D447, "")</f>
        <v>319.5</v>
      </c>
    </row>
    <row r="448" spans="1:6" x14ac:dyDescent="0.25">
      <c r="A448" s="221">
        <v>45978</v>
      </c>
      <c r="B448" s="222">
        <v>1</v>
      </c>
      <c r="C448" s="223" t="s">
        <v>37</v>
      </c>
      <c r="D448" s="224">
        <v>8.5</v>
      </c>
      <c r="E448" s="224">
        <v>8.1</v>
      </c>
      <c r="F448" s="42">
        <f>IFERROR(VLOOKUP(E448, Table2[],2, FALSE)*D448, "")</f>
        <v>516.375</v>
      </c>
    </row>
    <row r="449" spans="1:6" x14ac:dyDescent="0.25">
      <c r="A449" s="221">
        <v>45982</v>
      </c>
      <c r="B449" s="222">
        <v>12</v>
      </c>
      <c r="C449" s="223" t="s">
        <v>37</v>
      </c>
      <c r="D449" s="224">
        <v>4.4000000000000004</v>
      </c>
      <c r="E449" s="224">
        <v>6.3</v>
      </c>
      <c r="F449" s="42">
        <f>IFERROR(VLOOKUP(E449, Table2[],2, FALSE)*D449, "")</f>
        <v>207.9</v>
      </c>
    </row>
    <row r="450" spans="1:6" x14ac:dyDescent="0.25">
      <c r="A450" s="155">
        <v>45963</v>
      </c>
      <c r="B450" s="156">
        <v>3</v>
      </c>
      <c r="C450" s="129" t="s">
        <v>27</v>
      </c>
      <c r="D450" s="130">
        <v>4.2</v>
      </c>
      <c r="E450" s="130">
        <v>6.4</v>
      </c>
      <c r="F450" s="42">
        <f>IFERROR(VLOOKUP(E450, Table2[],2, FALSE)*D450, "")</f>
        <v>201.60000000000002</v>
      </c>
    </row>
    <row r="451" spans="1:6" x14ac:dyDescent="0.25">
      <c r="A451" s="155">
        <v>45963</v>
      </c>
      <c r="B451" s="156">
        <v>8</v>
      </c>
      <c r="C451" s="129" t="s">
        <v>27</v>
      </c>
      <c r="D451" s="130">
        <v>4.7</v>
      </c>
      <c r="E451" s="130">
        <v>6</v>
      </c>
      <c r="F451" s="42">
        <f>IFERROR(VLOOKUP(E451, Table2[],2, FALSE)*D451, "")</f>
        <v>211.5</v>
      </c>
    </row>
    <row r="452" spans="1:6" x14ac:dyDescent="0.25">
      <c r="A452" s="155">
        <v>45962</v>
      </c>
      <c r="B452" s="156">
        <v>9</v>
      </c>
      <c r="C452" s="129" t="s">
        <v>27</v>
      </c>
      <c r="D452" s="130">
        <v>0.9</v>
      </c>
      <c r="E452" s="130">
        <v>8.1</v>
      </c>
      <c r="F452" s="42">
        <f>IFERROR(VLOOKUP(E452, Table2[],2, FALSE)*D452, "")</f>
        <v>54.675000000000004</v>
      </c>
    </row>
    <row r="453" spans="1:6" x14ac:dyDescent="0.25">
      <c r="A453" s="155">
        <v>45963</v>
      </c>
      <c r="B453" s="156">
        <v>17</v>
      </c>
      <c r="C453" s="129" t="s">
        <v>27</v>
      </c>
      <c r="D453" s="130">
        <v>7.8</v>
      </c>
      <c r="E453" s="130">
        <v>5.5</v>
      </c>
      <c r="F453" s="42">
        <f>IFERROR(VLOOKUP(E453, Table2[],2, FALSE)*D453, "")</f>
        <v>321.75</v>
      </c>
    </row>
    <row r="454" spans="1:6" x14ac:dyDescent="0.25">
      <c r="A454" s="155">
        <v>45962</v>
      </c>
      <c r="B454" s="156">
        <v>16</v>
      </c>
      <c r="C454" s="129" t="s">
        <v>27</v>
      </c>
      <c r="D454" s="130">
        <v>3</v>
      </c>
      <c r="E454" s="130">
        <v>6.2</v>
      </c>
      <c r="F454" s="42">
        <f>IFERROR(VLOOKUP(E454, Table2[],2, FALSE)*D454, "")</f>
        <v>139.5</v>
      </c>
    </row>
    <row r="455" spans="1:6" x14ac:dyDescent="0.25">
      <c r="A455" s="155">
        <v>45963</v>
      </c>
      <c r="B455" s="156">
        <v>13</v>
      </c>
      <c r="C455" s="129" t="s">
        <v>27</v>
      </c>
      <c r="D455" s="130">
        <v>1.7</v>
      </c>
      <c r="E455" s="130">
        <v>8.1999999999999993</v>
      </c>
      <c r="F455" s="42">
        <f>IFERROR(VLOOKUP(E455, Table2[],2, FALSE)*D455, "")</f>
        <v>104.55</v>
      </c>
    </row>
    <row r="456" spans="1:6" x14ac:dyDescent="0.25">
      <c r="A456" s="155">
        <v>45963</v>
      </c>
      <c r="B456" s="156">
        <v>10</v>
      </c>
      <c r="C456" s="129" t="s">
        <v>27</v>
      </c>
      <c r="D456" s="130">
        <v>3.9</v>
      </c>
      <c r="E456" s="130">
        <v>6.9</v>
      </c>
      <c r="F456" s="42">
        <f>IFERROR(VLOOKUP(E456, Table2[],2, FALSE)*D456, "")</f>
        <v>201.82499999999999</v>
      </c>
    </row>
    <row r="457" spans="1:6" x14ac:dyDescent="0.25">
      <c r="A457" s="155">
        <v>45963</v>
      </c>
      <c r="B457" s="156">
        <v>4</v>
      </c>
      <c r="C457" s="129" t="s">
        <v>27</v>
      </c>
      <c r="D457" s="130">
        <v>14.7</v>
      </c>
      <c r="E457" s="130">
        <v>6</v>
      </c>
      <c r="F457" s="42">
        <f>IFERROR(VLOOKUP(E457, Table2[],2, FALSE)*D457, "")</f>
        <v>661.5</v>
      </c>
    </row>
    <row r="458" spans="1:6" x14ac:dyDescent="0.25">
      <c r="A458" s="221">
        <v>45977</v>
      </c>
      <c r="B458" s="222">
        <v>11</v>
      </c>
      <c r="C458" s="223" t="s">
        <v>27</v>
      </c>
      <c r="D458" s="224">
        <v>2</v>
      </c>
      <c r="E458" s="224">
        <v>9.1</v>
      </c>
      <c r="F458" s="42">
        <f>IFERROR(VLOOKUP(E458, Table2[],2, FALSE)*D458, "")</f>
        <v>136.5</v>
      </c>
    </row>
    <row r="459" spans="1:6" x14ac:dyDescent="0.25">
      <c r="A459" s="155">
        <v>45964</v>
      </c>
      <c r="B459" s="156">
        <v>6</v>
      </c>
      <c r="C459" s="129" t="s">
        <v>27</v>
      </c>
      <c r="D459" s="130">
        <v>8.3000000000000007</v>
      </c>
      <c r="E459" s="130">
        <v>6.3</v>
      </c>
      <c r="F459" s="42">
        <f>IFERROR(VLOOKUP(E459, Table2[],2, FALSE)*D459, "")</f>
        <v>392.17500000000001</v>
      </c>
    </row>
    <row r="460" spans="1:6" x14ac:dyDescent="0.25">
      <c r="A460" s="155">
        <v>45964</v>
      </c>
      <c r="B460" s="156">
        <v>3</v>
      </c>
      <c r="C460" s="129" t="s">
        <v>27</v>
      </c>
      <c r="D460" s="130">
        <v>3.7</v>
      </c>
      <c r="E460" s="130">
        <v>6.5</v>
      </c>
      <c r="F460" s="42">
        <f>IFERROR(VLOOKUP(E460, Table2[],2, FALSE)*D460, "")</f>
        <v>180.375</v>
      </c>
    </row>
    <row r="461" spans="1:6" x14ac:dyDescent="0.25">
      <c r="A461" s="155">
        <v>45964</v>
      </c>
      <c r="B461" s="156">
        <v>8</v>
      </c>
      <c r="C461" s="129" t="s">
        <v>27</v>
      </c>
      <c r="D461" s="130">
        <v>5.4</v>
      </c>
      <c r="E461" s="130">
        <v>6</v>
      </c>
      <c r="F461" s="42">
        <f>IFERROR(VLOOKUP(E461, Table2[],2, FALSE)*D461, "")</f>
        <v>243.00000000000003</v>
      </c>
    </row>
    <row r="462" spans="1:6" x14ac:dyDescent="0.25">
      <c r="A462" s="155">
        <v>45964</v>
      </c>
      <c r="B462" s="156">
        <v>16</v>
      </c>
      <c r="C462" s="129" t="s">
        <v>27</v>
      </c>
      <c r="D462" s="130">
        <v>3.5</v>
      </c>
      <c r="E462" s="130">
        <v>7.8</v>
      </c>
      <c r="F462" s="42">
        <f>IFERROR(VLOOKUP(E462, Table2[],2, FALSE)*D462, "")</f>
        <v>204.75</v>
      </c>
    </row>
    <row r="463" spans="1:6" x14ac:dyDescent="0.25">
      <c r="A463" s="155">
        <v>45963</v>
      </c>
      <c r="B463" s="156">
        <v>9</v>
      </c>
      <c r="C463" s="129" t="s">
        <v>27</v>
      </c>
      <c r="D463" s="130">
        <v>1</v>
      </c>
      <c r="E463" s="130">
        <v>8</v>
      </c>
      <c r="F463" s="42">
        <f>IFERROR(VLOOKUP(E463, Table2[],2, FALSE)*D463, "")</f>
        <v>60</v>
      </c>
    </row>
    <row r="464" spans="1:6" x14ac:dyDescent="0.25">
      <c r="A464" s="221">
        <v>45979</v>
      </c>
      <c r="B464" s="222">
        <v>1</v>
      </c>
      <c r="C464" s="223" t="s">
        <v>37</v>
      </c>
      <c r="D464" s="224">
        <v>8.6999999999999993</v>
      </c>
      <c r="E464" s="224">
        <v>7.8</v>
      </c>
      <c r="F464" s="42">
        <f>IFERROR(VLOOKUP(E464, Table2[],2, FALSE)*D464, "")</f>
        <v>508.94999999999993</v>
      </c>
    </row>
    <row r="465" spans="1:6" x14ac:dyDescent="0.25">
      <c r="A465" s="155">
        <v>45964</v>
      </c>
      <c r="B465" s="156">
        <v>13</v>
      </c>
      <c r="C465" s="129" t="s">
        <v>27</v>
      </c>
      <c r="D465" s="130">
        <v>1.5</v>
      </c>
      <c r="E465" s="130">
        <v>8.1999999999999993</v>
      </c>
      <c r="F465" s="42">
        <f>IFERROR(VLOOKUP(E465, Table2[],2, FALSE)*D465, "")</f>
        <v>92.25</v>
      </c>
    </row>
    <row r="466" spans="1:6" x14ac:dyDescent="0.25">
      <c r="A466" s="221">
        <v>45978</v>
      </c>
      <c r="B466" s="222">
        <v>14</v>
      </c>
      <c r="C466" s="223" t="s">
        <v>37</v>
      </c>
      <c r="D466" s="224">
        <v>1.3</v>
      </c>
      <c r="E466" s="224">
        <v>8.4</v>
      </c>
      <c r="F466" s="42">
        <f>IFERROR(VLOOKUP(E466, Table2[],2, FALSE)*D466, "")</f>
        <v>81.900000000000006</v>
      </c>
    </row>
    <row r="467" spans="1:6" x14ac:dyDescent="0.25">
      <c r="A467" s="221">
        <v>45986</v>
      </c>
      <c r="B467" s="222">
        <v>7</v>
      </c>
      <c r="C467" s="223" t="s">
        <v>37</v>
      </c>
      <c r="D467" s="224">
        <v>2.5</v>
      </c>
      <c r="E467" s="224">
        <v>7.3</v>
      </c>
      <c r="F467" s="42">
        <f>IFERROR(VLOOKUP(E467, Table2[],2, FALSE)*D467, "")</f>
        <v>136.875</v>
      </c>
    </row>
    <row r="468" spans="1:6" x14ac:dyDescent="0.25">
      <c r="A468" s="221">
        <v>45983</v>
      </c>
      <c r="B468" s="222">
        <v>12</v>
      </c>
      <c r="C468" s="223" t="s">
        <v>37</v>
      </c>
      <c r="D468" s="224">
        <v>4.7</v>
      </c>
      <c r="E468" s="224">
        <v>6</v>
      </c>
      <c r="F468" s="42">
        <f>IFERROR(VLOOKUP(E468, Table2[],2, FALSE)*D468, "")</f>
        <v>211.5</v>
      </c>
    </row>
    <row r="469" spans="1:6" x14ac:dyDescent="0.25">
      <c r="A469" s="221">
        <v>45979</v>
      </c>
      <c r="B469" s="222">
        <v>5</v>
      </c>
      <c r="C469" s="223" t="s">
        <v>37</v>
      </c>
      <c r="D469" s="224">
        <v>2.2000000000000002</v>
      </c>
      <c r="E469" s="224">
        <v>10</v>
      </c>
      <c r="F469" s="42">
        <f>IFERROR(VLOOKUP(E469, Table2[],2, FALSE)*D469, "")</f>
        <v>165</v>
      </c>
    </row>
    <row r="470" spans="1:6" x14ac:dyDescent="0.25">
      <c r="A470" s="221">
        <v>45978</v>
      </c>
      <c r="B470" s="222">
        <v>2</v>
      </c>
      <c r="C470" s="223" t="s">
        <v>37</v>
      </c>
      <c r="D470" s="224">
        <v>1.6</v>
      </c>
      <c r="E470" s="224">
        <v>9.4</v>
      </c>
      <c r="F470" s="42">
        <f>IFERROR(VLOOKUP(E470, Table2[],2, FALSE)*D470, "")</f>
        <v>112.80000000000001</v>
      </c>
    </row>
    <row r="471" spans="1:6" x14ac:dyDescent="0.25">
      <c r="A471" s="155">
        <v>45964</v>
      </c>
      <c r="B471" s="156">
        <v>17</v>
      </c>
      <c r="C471" s="129" t="s">
        <v>27</v>
      </c>
      <c r="D471" s="130">
        <v>8</v>
      </c>
      <c r="E471" s="130">
        <v>5.5</v>
      </c>
      <c r="F471" s="42">
        <f>IFERROR(VLOOKUP(E471, Table2[],2, FALSE)*D471, "")</f>
        <v>330</v>
      </c>
    </row>
    <row r="472" spans="1:6" x14ac:dyDescent="0.25">
      <c r="A472" s="155">
        <v>45964</v>
      </c>
      <c r="B472" s="156">
        <v>4</v>
      </c>
      <c r="C472" s="129" t="s">
        <v>27</v>
      </c>
      <c r="D472" s="130">
        <v>14.1</v>
      </c>
      <c r="E472" s="130">
        <v>5.5</v>
      </c>
      <c r="F472" s="42">
        <f>IFERROR(VLOOKUP(E472, Table2[],2, FALSE)*D472, "")</f>
        <v>581.625</v>
      </c>
    </row>
    <row r="473" spans="1:6" x14ac:dyDescent="0.25">
      <c r="A473" s="221">
        <v>45978</v>
      </c>
      <c r="B473" s="222">
        <v>15</v>
      </c>
      <c r="C473" s="223" t="s">
        <v>37</v>
      </c>
      <c r="D473" s="224">
        <v>11.7</v>
      </c>
      <c r="E473" s="224">
        <v>7.2</v>
      </c>
      <c r="F473" s="42">
        <f>IFERROR(VLOOKUP(E473, Table2[],2, FALSE)*D473, "")</f>
        <v>631.79999999999995</v>
      </c>
    </row>
    <row r="474" spans="1:6" x14ac:dyDescent="0.25">
      <c r="A474" s="155">
        <v>45964</v>
      </c>
      <c r="B474" s="156">
        <v>10</v>
      </c>
      <c r="C474" s="129" t="s">
        <v>27</v>
      </c>
      <c r="D474" s="130">
        <v>3.9</v>
      </c>
      <c r="E474" s="130">
        <v>6.5</v>
      </c>
      <c r="F474" s="42">
        <f>IFERROR(VLOOKUP(E474, Table2[],2, FALSE)*D474, "")</f>
        <v>190.125</v>
      </c>
    </row>
    <row r="475" spans="1:6" x14ac:dyDescent="0.25">
      <c r="A475" s="221">
        <v>45978</v>
      </c>
      <c r="B475" s="222">
        <v>11</v>
      </c>
      <c r="C475" s="223" t="s">
        <v>37</v>
      </c>
      <c r="D475" s="224">
        <v>1.6</v>
      </c>
      <c r="E475" s="224">
        <v>9</v>
      </c>
      <c r="F475" s="42">
        <f>IFERROR(VLOOKUP(E475, Table2[],2, FALSE)*D475, "")</f>
        <v>108</v>
      </c>
    </row>
    <row r="476" spans="1:6" x14ac:dyDescent="0.25">
      <c r="A476" s="155">
        <v>45965</v>
      </c>
      <c r="B476" s="156">
        <v>6</v>
      </c>
      <c r="C476" s="129" t="s">
        <v>27</v>
      </c>
      <c r="D476" s="130">
        <v>8.8000000000000007</v>
      </c>
      <c r="E476" s="130">
        <v>6.2</v>
      </c>
      <c r="F476" s="42">
        <f>IFERROR(VLOOKUP(E476, Table2[],2, FALSE)*D476, "")</f>
        <v>409.20000000000005</v>
      </c>
    </row>
    <row r="477" spans="1:6" x14ac:dyDescent="0.25">
      <c r="A477" s="221">
        <v>45984</v>
      </c>
      <c r="B477" s="222">
        <v>12</v>
      </c>
      <c r="C477" s="223" t="s">
        <v>37</v>
      </c>
      <c r="D477" s="224">
        <v>3.5</v>
      </c>
      <c r="E477" s="224">
        <v>5.7</v>
      </c>
      <c r="F477" s="42">
        <f>IFERROR(VLOOKUP(E477, Table2[],2, FALSE)*D477, "")</f>
        <v>149.625</v>
      </c>
    </row>
    <row r="478" spans="1:6" x14ac:dyDescent="0.25">
      <c r="A478" s="155">
        <v>45965</v>
      </c>
      <c r="B478" s="156">
        <v>8</v>
      </c>
      <c r="C478" s="129" t="s">
        <v>27</v>
      </c>
      <c r="D478" s="130">
        <v>5.0999999999999996</v>
      </c>
      <c r="E478" s="130">
        <v>5.8</v>
      </c>
      <c r="F478" s="42">
        <f>IFERROR(VLOOKUP(E478, Table2[],2, FALSE)*D478, "")</f>
        <v>221.85</v>
      </c>
    </row>
    <row r="479" spans="1:6" x14ac:dyDescent="0.25">
      <c r="A479" s="155">
        <v>45965</v>
      </c>
      <c r="B479" s="156">
        <v>3</v>
      </c>
      <c r="C479" s="129" t="s">
        <v>27</v>
      </c>
      <c r="D479" s="130">
        <v>3.9</v>
      </c>
      <c r="E479" s="130">
        <v>6.3</v>
      </c>
      <c r="F479" s="42">
        <f>IFERROR(VLOOKUP(E479, Table2[],2, FALSE)*D479, "")</f>
        <v>184.27500000000001</v>
      </c>
    </row>
    <row r="480" spans="1:6" x14ac:dyDescent="0.25">
      <c r="A480" s="155">
        <v>45965</v>
      </c>
      <c r="B480" s="156">
        <v>16</v>
      </c>
      <c r="C480" s="129" t="s">
        <v>27</v>
      </c>
      <c r="D480" s="130">
        <v>3.5</v>
      </c>
      <c r="E480" s="130">
        <v>6.5</v>
      </c>
      <c r="F480" s="42">
        <f>IFERROR(VLOOKUP(E480, Table2[],2, FALSE)*D480, "")</f>
        <v>170.625</v>
      </c>
    </row>
    <row r="481" spans="1:6" x14ac:dyDescent="0.25">
      <c r="A481" s="155">
        <v>45964</v>
      </c>
      <c r="B481" s="156">
        <v>9</v>
      </c>
      <c r="C481" s="129" t="s">
        <v>27</v>
      </c>
      <c r="D481" s="130">
        <v>1</v>
      </c>
      <c r="E481" s="130">
        <v>7.9</v>
      </c>
      <c r="F481" s="42">
        <f>IFERROR(VLOOKUP(E481, Table2[],2, FALSE)*D481, "")</f>
        <v>59.25</v>
      </c>
    </row>
    <row r="482" spans="1:6" x14ac:dyDescent="0.25">
      <c r="A482" s="155">
        <v>45965</v>
      </c>
      <c r="B482" s="156">
        <v>13</v>
      </c>
      <c r="C482" s="129" t="s">
        <v>27</v>
      </c>
      <c r="D482" s="130">
        <v>1.3</v>
      </c>
      <c r="E482" s="130">
        <v>6.2</v>
      </c>
      <c r="F482" s="42">
        <f>IFERROR(VLOOKUP(E482, Table2[],2, FALSE)*D482, "")</f>
        <v>60.45</v>
      </c>
    </row>
    <row r="483" spans="1:6" x14ac:dyDescent="0.25">
      <c r="A483" s="221">
        <v>45980</v>
      </c>
      <c r="B483" s="222">
        <v>1</v>
      </c>
      <c r="C483" s="223" t="s">
        <v>37</v>
      </c>
      <c r="D483" s="224">
        <v>7.4</v>
      </c>
      <c r="E483" s="224">
        <v>8.3000000000000007</v>
      </c>
      <c r="F483" s="42">
        <f>IFERROR(VLOOKUP(E483, Table2[],2, FALSE)*D483, "")</f>
        <v>460.65000000000003</v>
      </c>
    </row>
    <row r="484" spans="1:6" x14ac:dyDescent="0.25">
      <c r="A484" s="155">
        <v>45965</v>
      </c>
      <c r="B484" s="156">
        <v>17</v>
      </c>
      <c r="C484" s="129" t="s">
        <v>27</v>
      </c>
      <c r="D484" s="130">
        <v>3.1</v>
      </c>
      <c r="E484" s="130">
        <v>6.2</v>
      </c>
      <c r="F484" s="42">
        <f>IFERROR(VLOOKUP(E484, Table2[],2, FALSE)*D484, "")</f>
        <v>144.15</v>
      </c>
    </row>
    <row r="485" spans="1:6" x14ac:dyDescent="0.25">
      <c r="A485" s="155">
        <v>45965</v>
      </c>
      <c r="B485" s="156">
        <v>10</v>
      </c>
      <c r="C485" s="129" t="s">
        <v>27</v>
      </c>
      <c r="D485" s="130">
        <v>5.5</v>
      </c>
      <c r="E485" s="130">
        <v>6.8</v>
      </c>
      <c r="F485" s="42">
        <f>IFERROR(VLOOKUP(E485, Table2[],2, FALSE)*D485, "")</f>
        <v>280.5</v>
      </c>
    </row>
    <row r="486" spans="1:6" x14ac:dyDescent="0.25">
      <c r="A486" s="155">
        <v>45965</v>
      </c>
      <c r="B486" s="156">
        <v>4</v>
      </c>
      <c r="C486" s="129" t="s">
        <v>27</v>
      </c>
      <c r="D486" s="130">
        <v>14.9</v>
      </c>
      <c r="E486" s="130">
        <v>5.6</v>
      </c>
      <c r="F486" s="42">
        <f>IFERROR(VLOOKUP(E486, Table2[],2, FALSE)*D486, "")</f>
        <v>625.80000000000007</v>
      </c>
    </row>
    <row r="487" spans="1:6" x14ac:dyDescent="0.25">
      <c r="A487" s="221">
        <v>45978</v>
      </c>
      <c r="B487" s="222">
        <v>11</v>
      </c>
      <c r="C487" s="223" t="s">
        <v>27</v>
      </c>
      <c r="D487" s="224">
        <v>2</v>
      </c>
      <c r="E487" s="224">
        <v>8.9</v>
      </c>
      <c r="F487" s="42">
        <f>IFERROR(VLOOKUP(E487, Table2[],2, FALSE)*D487, "")</f>
        <v>133.5</v>
      </c>
    </row>
    <row r="488" spans="1:6" x14ac:dyDescent="0.25">
      <c r="A488" s="155">
        <v>45966</v>
      </c>
      <c r="B488" s="156">
        <v>6</v>
      </c>
      <c r="C488" s="129" t="s">
        <v>27</v>
      </c>
      <c r="D488" s="130">
        <v>7.4</v>
      </c>
      <c r="E488" s="130">
        <v>6.2</v>
      </c>
      <c r="F488" s="42">
        <f>IFERROR(VLOOKUP(E488, Table2[],2, FALSE)*D488, "")</f>
        <v>344.1</v>
      </c>
    </row>
    <row r="489" spans="1:6" x14ac:dyDescent="0.25">
      <c r="A489" s="221">
        <v>45985</v>
      </c>
      <c r="B489" s="222">
        <v>12</v>
      </c>
      <c r="C489" s="223" t="s">
        <v>37</v>
      </c>
      <c r="D489" s="224">
        <v>4.8</v>
      </c>
      <c r="E489" s="224">
        <v>6.5</v>
      </c>
      <c r="F489" s="42">
        <f>IFERROR(VLOOKUP(E489, Table2[],2, FALSE)*D489, "")</f>
        <v>234</v>
      </c>
    </row>
    <row r="490" spans="1:6" x14ac:dyDescent="0.25">
      <c r="A490" s="155">
        <v>45966</v>
      </c>
      <c r="B490" s="156">
        <v>16</v>
      </c>
      <c r="C490" s="129" t="s">
        <v>27</v>
      </c>
      <c r="D490" s="130">
        <v>3.4</v>
      </c>
      <c r="E490" s="130">
        <v>6.5</v>
      </c>
      <c r="F490" s="42">
        <f>IFERROR(VLOOKUP(E490, Table2[],2, FALSE)*D490, "")</f>
        <v>165.75</v>
      </c>
    </row>
    <row r="491" spans="1:6" x14ac:dyDescent="0.25">
      <c r="A491" s="155">
        <v>45965</v>
      </c>
      <c r="B491" s="156">
        <v>9</v>
      </c>
      <c r="C491" s="129" t="s">
        <v>27</v>
      </c>
      <c r="D491" s="130">
        <v>1</v>
      </c>
      <c r="E491" s="130">
        <v>9.3000000000000007</v>
      </c>
      <c r="F491" s="42">
        <f>IFERROR(VLOOKUP(E491, Table2[],2, FALSE)*D491, "")</f>
        <v>69.75</v>
      </c>
    </row>
    <row r="492" spans="1:6" x14ac:dyDescent="0.25">
      <c r="A492" s="155">
        <v>45966</v>
      </c>
      <c r="B492" s="156">
        <v>13</v>
      </c>
      <c r="C492" s="129" t="s">
        <v>27</v>
      </c>
      <c r="D492" s="130">
        <v>1.4</v>
      </c>
      <c r="E492" s="130">
        <v>6.2</v>
      </c>
      <c r="F492" s="42">
        <f>IFERROR(VLOOKUP(E492, Table2[],2, FALSE)*D492, "")</f>
        <v>65.099999999999994</v>
      </c>
    </row>
    <row r="493" spans="1:6" x14ac:dyDescent="0.25">
      <c r="A493" s="221">
        <v>45979</v>
      </c>
      <c r="B493" s="222">
        <v>14</v>
      </c>
      <c r="C493" s="223" t="s">
        <v>37</v>
      </c>
      <c r="D493" s="224">
        <v>1.3</v>
      </c>
      <c r="E493" s="224">
        <v>8.4</v>
      </c>
      <c r="F493" s="42">
        <f>IFERROR(VLOOKUP(E493, Table2[],2, FALSE)*D493, "")</f>
        <v>81.900000000000006</v>
      </c>
    </row>
    <row r="494" spans="1:6" x14ac:dyDescent="0.25">
      <c r="A494" s="155">
        <v>45966</v>
      </c>
      <c r="B494" s="156">
        <v>3</v>
      </c>
      <c r="C494" s="129" t="s">
        <v>27</v>
      </c>
      <c r="D494" s="130">
        <v>3.9</v>
      </c>
      <c r="E494" s="130">
        <v>6.2</v>
      </c>
      <c r="F494" s="42">
        <f>IFERROR(VLOOKUP(E494, Table2[],2, FALSE)*D494, "")</f>
        <v>181.35</v>
      </c>
    </row>
    <row r="495" spans="1:6" x14ac:dyDescent="0.25">
      <c r="A495" s="221">
        <v>45979</v>
      </c>
      <c r="B495" s="222">
        <v>15</v>
      </c>
      <c r="C495" s="223" t="s">
        <v>37</v>
      </c>
      <c r="D495" s="224">
        <v>12.4</v>
      </c>
      <c r="E495" s="224">
        <v>7.5</v>
      </c>
      <c r="F495" s="42">
        <f>IFERROR(VLOOKUP(E495, Table2[],2, FALSE)*D495, "")</f>
        <v>697.5</v>
      </c>
    </row>
    <row r="496" spans="1:6" x14ac:dyDescent="0.25">
      <c r="A496" s="155">
        <v>45966</v>
      </c>
      <c r="B496" s="156">
        <v>8</v>
      </c>
      <c r="C496" s="129" t="s">
        <v>27</v>
      </c>
      <c r="D496" s="130">
        <v>5.3</v>
      </c>
      <c r="E496" s="130">
        <v>6</v>
      </c>
      <c r="F496" s="42">
        <f>IFERROR(VLOOKUP(E496, Table2[],2, FALSE)*D496, "")</f>
        <v>238.5</v>
      </c>
    </row>
    <row r="497" spans="1:6" x14ac:dyDescent="0.25">
      <c r="A497" s="221">
        <v>45987</v>
      </c>
      <c r="B497" s="222">
        <v>7</v>
      </c>
      <c r="C497" s="223" t="s">
        <v>37</v>
      </c>
      <c r="D497" s="224">
        <v>2.5</v>
      </c>
      <c r="E497" s="224">
        <v>8.1999999999999993</v>
      </c>
      <c r="F497" s="42">
        <f>IFERROR(VLOOKUP(E497, Table2[],2, FALSE)*D497, "")</f>
        <v>153.75</v>
      </c>
    </row>
    <row r="498" spans="1:6" x14ac:dyDescent="0.25">
      <c r="A498" s="221">
        <v>45980</v>
      </c>
      <c r="B498" s="222">
        <v>5</v>
      </c>
      <c r="C498" s="223" t="s">
        <v>37</v>
      </c>
      <c r="D498" s="224">
        <v>1.9</v>
      </c>
      <c r="E498" s="224">
        <v>10</v>
      </c>
      <c r="F498" s="42">
        <f>IFERROR(VLOOKUP(E498, Table2[],2, FALSE)*D498, "")</f>
        <v>142.5</v>
      </c>
    </row>
    <row r="499" spans="1:6" x14ac:dyDescent="0.25">
      <c r="A499" s="221">
        <v>45981</v>
      </c>
      <c r="B499" s="222">
        <v>1</v>
      </c>
      <c r="C499" s="223" t="s">
        <v>37</v>
      </c>
      <c r="D499" s="224">
        <v>7.4</v>
      </c>
      <c r="E499" s="224">
        <v>8.6</v>
      </c>
      <c r="F499" s="42">
        <f>IFERROR(VLOOKUP(E499, Table2[],2, FALSE)*D499, "")</f>
        <v>477.3</v>
      </c>
    </row>
    <row r="500" spans="1:6" x14ac:dyDescent="0.25">
      <c r="A500" s="155">
        <v>45966</v>
      </c>
      <c r="B500" s="156">
        <v>17</v>
      </c>
      <c r="C500" s="129" t="s">
        <v>27</v>
      </c>
      <c r="D500" s="130">
        <v>2.4</v>
      </c>
      <c r="E500" s="130">
        <v>5.7</v>
      </c>
      <c r="F500" s="42">
        <f>IFERROR(VLOOKUP(E500, Table2[],2, FALSE)*D500, "")</f>
        <v>102.6</v>
      </c>
    </row>
    <row r="501" spans="1:6" x14ac:dyDescent="0.25">
      <c r="A501" s="155">
        <v>45966</v>
      </c>
      <c r="B501" s="156">
        <v>4</v>
      </c>
      <c r="C501" s="129" t="s">
        <v>27</v>
      </c>
      <c r="D501" s="130">
        <v>14.7</v>
      </c>
      <c r="E501" s="130">
        <v>6</v>
      </c>
      <c r="F501" s="42">
        <f>IFERROR(VLOOKUP(E501, Table2[],2, FALSE)*D501, "")</f>
        <v>661.5</v>
      </c>
    </row>
    <row r="502" spans="1:6" x14ac:dyDescent="0.25">
      <c r="A502" s="155">
        <v>45966</v>
      </c>
      <c r="B502" s="156">
        <v>10</v>
      </c>
      <c r="C502" s="129" t="s">
        <v>27</v>
      </c>
      <c r="D502" s="130">
        <v>4.2</v>
      </c>
      <c r="E502" s="130">
        <v>7.5</v>
      </c>
      <c r="F502" s="42">
        <f>IFERROR(VLOOKUP(E502, Table2[],2, FALSE)*D502, "")</f>
        <v>236.25</v>
      </c>
    </row>
    <row r="503" spans="1:6" x14ac:dyDescent="0.25">
      <c r="A503" s="221">
        <v>45979</v>
      </c>
      <c r="B503" s="222">
        <v>2</v>
      </c>
      <c r="C503" s="223" t="s">
        <v>37</v>
      </c>
      <c r="D503" s="224">
        <v>1</v>
      </c>
      <c r="E503" s="224">
        <v>10</v>
      </c>
      <c r="F503" s="42">
        <f>IFERROR(VLOOKUP(E503, Table2[],2, FALSE)*D503, "")</f>
        <v>75</v>
      </c>
    </row>
    <row r="504" spans="1:6" x14ac:dyDescent="0.25">
      <c r="A504" s="221">
        <v>45979</v>
      </c>
      <c r="B504" s="222">
        <v>11</v>
      </c>
      <c r="C504" s="223" t="s">
        <v>37</v>
      </c>
      <c r="D504" s="224">
        <v>2</v>
      </c>
      <c r="E504" s="224">
        <v>9.1</v>
      </c>
      <c r="F504" s="42">
        <f>IFERROR(VLOOKUP(E504, Table2[],2, FALSE)*D504, "")</f>
        <v>136.5</v>
      </c>
    </row>
    <row r="505" spans="1:6" x14ac:dyDescent="0.25">
      <c r="A505" s="221">
        <v>45982</v>
      </c>
      <c r="B505" s="222">
        <v>1</v>
      </c>
      <c r="C505" s="223" t="s">
        <v>37</v>
      </c>
      <c r="D505" s="224">
        <v>8</v>
      </c>
      <c r="E505" s="224">
        <v>8.1999999999999993</v>
      </c>
      <c r="F505" s="42">
        <f>IFERROR(VLOOKUP(E505, Table2[],2, FALSE)*D505, "")</f>
        <v>492</v>
      </c>
    </row>
    <row r="506" spans="1:6" x14ac:dyDescent="0.25">
      <c r="A506" s="155">
        <v>45967</v>
      </c>
      <c r="B506" s="156">
        <v>6</v>
      </c>
      <c r="C506" s="129" t="s">
        <v>27</v>
      </c>
      <c r="D506" s="130">
        <v>6.7</v>
      </c>
      <c r="E506" s="130">
        <v>6.5</v>
      </c>
      <c r="F506" s="42">
        <f>IFERROR(VLOOKUP(E506, Table2[],2, FALSE)*D506, "")</f>
        <v>326.625</v>
      </c>
    </row>
    <row r="507" spans="1:6" x14ac:dyDescent="0.25">
      <c r="A507" s="155">
        <v>45967</v>
      </c>
      <c r="B507" s="156">
        <v>3</v>
      </c>
      <c r="C507" s="129" t="s">
        <v>27</v>
      </c>
      <c r="D507" s="130">
        <v>3.4</v>
      </c>
      <c r="E507" s="130">
        <v>6</v>
      </c>
      <c r="F507" s="42">
        <f>IFERROR(VLOOKUP(E507, Table2[],2, FALSE)*D507, "")</f>
        <v>153</v>
      </c>
    </row>
    <row r="508" spans="1:6" x14ac:dyDescent="0.25">
      <c r="A508" s="221">
        <v>45986</v>
      </c>
      <c r="B508" s="222">
        <v>12</v>
      </c>
      <c r="C508" s="223" t="s">
        <v>37</v>
      </c>
      <c r="D508" s="224">
        <v>4.7</v>
      </c>
      <c r="E508" s="224">
        <v>7</v>
      </c>
      <c r="F508" s="42">
        <f>IFERROR(VLOOKUP(E508, Table2[],2, FALSE)*D508, "")</f>
        <v>246.75</v>
      </c>
    </row>
    <row r="509" spans="1:6" x14ac:dyDescent="0.25">
      <c r="A509" s="155">
        <v>45967</v>
      </c>
      <c r="B509" s="156">
        <v>8</v>
      </c>
      <c r="C509" s="129" t="s">
        <v>27</v>
      </c>
      <c r="D509" s="130">
        <v>5.5</v>
      </c>
      <c r="E509" s="130">
        <v>5.5</v>
      </c>
      <c r="F509" s="42">
        <f>IFERROR(VLOOKUP(E509, Table2[],2, FALSE)*D509, "")</f>
        <v>226.875</v>
      </c>
    </row>
    <row r="510" spans="1:6" x14ac:dyDescent="0.25">
      <c r="A510" s="155">
        <v>45967</v>
      </c>
      <c r="B510" s="156">
        <v>13</v>
      </c>
      <c r="C510" s="129" t="s">
        <v>27</v>
      </c>
      <c r="D510" s="130">
        <v>1.8</v>
      </c>
      <c r="E510" s="130">
        <v>8.6999999999999993</v>
      </c>
      <c r="F510" s="42">
        <f>IFERROR(VLOOKUP(E510, Table2[],2, FALSE)*D510, "")</f>
        <v>117.45</v>
      </c>
    </row>
    <row r="511" spans="1:6" x14ac:dyDescent="0.25">
      <c r="A511" s="155">
        <v>45967</v>
      </c>
      <c r="B511" s="156">
        <v>9</v>
      </c>
      <c r="C511" s="129" t="s">
        <v>27</v>
      </c>
      <c r="D511" s="130">
        <v>0.8</v>
      </c>
      <c r="E511" s="130">
        <v>9.8000000000000007</v>
      </c>
      <c r="F511" s="42">
        <f>IFERROR(VLOOKUP(E511, Table2[],2, FALSE)*D511, "")</f>
        <v>58.800000000000004</v>
      </c>
    </row>
    <row r="512" spans="1:6" x14ac:dyDescent="0.25">
      <c r="A512" s="155">
        <v>45967</v>
      </c>
      <c r="B512" s="156">
        <v>16</v>
      </c>
      <c r="C512" s="129" t="s">
        <v>27</v>
      </c>
      <c r="D512" s="130">
        <v>3.1</v>
      </c>
      <c r="E512" s="130">
        <v>6.7</v>
      </c>
      <c r="F512" s="42">
        <f>IFERROR(VLOOKUP(E512, Table2[],2, FALSE)*D512, "")</f>
        <v>155.77500000000001</v>
      </c>
    </row>
    <row r="513" spans="1:6" x14ac:dyDescent="0.25">
      <c r="A513" s="155">
        <v>45967</v>
      </c>
      <c r="B513" s="156">
        <v>17</v>
      </c>
      <c r="C513" s="129" t="s">
        <v>27</v>
      </c>
      <c r="D513" s="130">
        <v>7.9</v>
      </c>
      <c r="E513" s="130">
        <v>6</v>
      </c>
      <c r="F513" s="42">
        <f>IFERROR(VLOOKUP(E513, Table2[],2, FALSE)*D513, "")</f>
        <v>355.5</v>
      </c>
    </row>
    <row r="514" spans="1:6" x14ac:dyDescent="0.25">
      <c r="A514" s="155">
        <v>45967</v>
      </c>
      <c r="B514" s="156">
        <v>10</v>
      </c>
      <c r="C514" s="129" t="s">
        <v>27</v>
      </c>
      <c r="D514" s="130">
        <v>4.8</v>
      </c>
      <c r="E514" s="130">
        <v>7.5</v>
      </c>
      <c r="F514" s="42">
        <f>IFERROR(VLOOKUP(E514, Table2[],2, FALSE)*D514, "")</f>
        <v>270</v>
      </c>
    </row>
    <row r="515" spans="1:6" x14ac:dyDescent="0.25">
      <c r="A515" s="155">
        <v>45967</v>
      </c>
      <c r="B515" s="156">
        <v>4</v>
      </c>
      <c r="C515" s="129" t="s">
        <v>27</v>
      </c>
      <c r="D515" s="130">
        <v>15</v>
      </c>
      <c r="E515" s="130">
        <v>6</v>
      </c>
      <c r="F515" s="42">
        <f>IFERROR(VLOOKUP(E515, Table2[],2, FALSE)*D515, "")</f>
        <v>675</v>
      </c>
    </row>
    <row r="516" spans="1:6" x14ac:dyDescent="0.25">
      <c r="A516" s="221">
        <v>45979</v>
      </c>
      <c r="B516" s="222">
        <v>11</v>
      </c>
      <c r="C516" s="223" t="s">
        <v>27</v>
      </c>
      <c r="D516" s="224">
        <v>2</v>
      </c>
      <c r="E516" s="224">
        <v>7.9</v>
      </c>
      <c r="F516" s="42">
        <f>IFERROR(VLOOKUP(E516, Table2[],2, FALSE)*D516, "")</f>
        <v>118.5</v>
      </c>
    </row>
    <row r="517" spans="1:6" x14ac:dyDescent="0.25">
      <c r="A517" s="155">
        <v>45968</v>
      </c>
      <c r="B517" s="156">
        <v>6</v>
      </c>
      <c r="C517" s="129" t="s">
        <v>27</v>
      </c>
      <c r="D517" s="130">
        <v>6.9</v>
      </c>
      <c r="E517" s="130">
        <v>6</v>
      </c>
      <c r="F517" s="42">
        <f>IFERROR(VLOOKUP(E517, Table2[],2, FALSE)*D517, "")</f>
        <v>310.5</v>
      </c>
    </row>
    <row r="518" spans="1:6" x14ac:dyDescent="0.25">
      <c r="A518" s="155">
        <v>45968</v>
      </c>
      <c r="B518" s="156">
        <v>16</v>
      </c>
      <c r="C518" s="129" t="s">
        <v>27</v>
      </c>
      <c r="D518" s="130">
        <v>2.9</v>
      </c>
      <c r="E518" s="130">
        <v>6.2</v>
      </c>
      <c r="F518" s="42">
        <f>IFERROR(VLOOKUP(E518, Table2[],2, FALSE)*D518, "")</f>
        <v>134.85</v>
      </c>
    </row>
    <row r="519" spans="1:6" x14ac:dyDescent="0.25">
      <c r="A519" s="221">
        <v>45988</v>
      </c>
      <c r="B519" s="222">
        <v>7</v>
      </c>
      <c r="C519" s="223" t="s">
        <v>37</v>
      </c>
      <c r="D519" s="224">
        <v>2.9</v>
      </c>
      <c r="E519" s="224">
        <v>7.5</v>
      </c>
      <c r="F519" s="42">
        <f>IFERROR(VLOOKUP(E519, Table2[],2, FALSE)*D519, "")</f>
        <v>163.125</v>
      </c>
    </row>
    <row r="520" spans="1:6" x14ac:dyDescent="0.25">
      <c r="A520" s="155">
        <v>45968</v>
      </c>
      <c r="B520" s="156">
        <v>13</v>
      </c>
      <c r="C520" s="129" t="s">
        <v>27</v>
      </c>
      <c r="D520" s="130">
        <v>2.6</v>
      </c>
      <c r="E520" s="130">
        <v>7.4</v>
      </c>
      <c r="F520" s="42">
        <f>IFERROR(VLOOKUP(E520, Table2[],2, FALSE)*D520, "")</f>
        <v>144.30000000000001</v>
      </c>
    </row>
    <row r="521" spans="1:6" x14ac:dyDescent="0.25">
      <c r="A521" s="221">
        <v>45980</v>
      </c>
      <c r="B521" s="222">
        <v>14</v>
      </c>
      <c r="C521" s="223" t="s">
        <v>37</v>
      </c>
      <c r="D521" s="224">
        <v>1.3</v>
      </c>
      <c r="E521" s="224">
        <v>8.4</v>
      </c>
      <c r="F521" s="42">
        <f>IFERROR(VLOOKUP(E521, Table2[],2, FALSE)*D521, "")</f>
        <v>81.900000000000006</v>
      </c>
    </row>
    <row r="522" spans="1:6" x14ac:dyDescent="0.25">
      <c r="A522" s="221">
        <v>45981</v>
      </c>
      <c r="B522" s="222">
        <v>5</v>
      </c>
      <c r="C522" s="223" t="s">
        <v>37</v>
      </c>
      <c r="D522" s="224">
        <v>1.9</v>
      </c>
      <c r="E522" s="224">
        <v>10</v>
      </c>
      <c r="F522" s="42">
        <f>IFERROR(VLOOKUP(E522, Table2[],2, FALSE)*D522, "")</f>
        <v>142.5</v>
      </c>
    </row>
    <row r="523" spans="1:6" x14ac:dyDescent="0.25">
      <c r="A523" s="155">
        <v>45968</v>
      </c>
      <c r="B523" s="156">
        <v>3</v>
      </c>
      <c r="C523" s="129" t="s">
        <v>27</v>
      </c>
      <c r="D523" s="130">
        <v>4.3</v>
      </c>
      <c r="E523" s="130">
        <v>6</v>
      </c>
      <c r="F523" s="42">
        <f>IFERROR(VLOOKUP(E523, Table2[],2, FALSE)*D523, "")</f>
        <v>193.5</v>
      </c>
    </row>
    <row r="524" spans="1:6" x14ac:dyDescent="0.25">
      <c r="A524" s="155">
        <v>45968</v>
      </c>
      <c r="B524" s="156">
        <v>9</v>
      </c>
      <c r="C524" s="129" t="s">
        <v>27</v>
      </c>
      <c r="D524" s="130">
        <v>0.9</v>
      </c>
      <c r="E524" s="130">
        <v>8.4</v>
      </c>
      <c r="F524" s="42">
        <f>IFERROR(VLOOKUP(E524, Table2[],2, FALSE)*D524, "")</f>
        <v>56.7</v>
      </c>
    </row>
    <row r="525" spans="1:6" x14ac:dyDescent="0.25">
      <c r="A525" s="221">
        <v>45987</v>
      </c>
      <c r="B525" s="222">
        <v>12</v>
      </c>
      <c r="C525" s="223" t="s">
        <v>37</v>
      </c>
      <c r="D525" s="224">
        <v>3.7</v>
      </c>
      <c r="E525" s="224">
        <v>7.2</v>
      </c>
      <c r="F525" s="42">
        <f>IFERROR(VLOOKUP(E525, Table2[],2, FALSE)*D525, "")</f>
        <v>199.8</v>
      </c>
    </row>
    <row r="526" spans="1:6" x14ac:dyDescent="0.25">
      <c r="A526" s="221">
        <v>45980</v>
      </c>
      <c r="B526" s="222">
        <v>2</v>
      </c>
      <c r="C526" s="223" t="s">
        <v>37</v>
      </c>
      <c r="D526" s="224">
        <v>1.1000000000000001</v>
      </c>
      <c r="E526" s="224">
        <v>10</v>
      </c>
      <c r="F526" s="42">
        <f>IFERROR(VLOOKUP(E526, Table2[],2, FALSE)*D526, "")</f>
        <v>82.5</v>
      </c>
    </row>
    <row r="527" spans="1:6" x14ac:dyDescent="0.25">
      <c r="A527" s="155">
        <v>45968</v>
      </c>
      <c r="B527" s="156">
        <v>8</v>
      </c>
      <c r="C527" s="129" t="s">
        <v>27</v>
      </c>
      <c r="D527" s="130">
        <v>6.1</v>
      </c>
      <c r="E527" s="130">
        <v>6.2</v>
      </c>
      <c r="F527" s="42">
        <f>IFERROR(VLOOKUP(E527, Table2[],2, FALSE)*D527, "")</f>
        <v>283.64999999999998</v>
      </c>
    </row>
    <row r="528" spans="1:6" x14ac:dyDescent="0.25">
      <c r="A528" s="155">
        <v>45968</v>
      </c>
      <c r="B528" s="156">
        <v>17</v>
      </c>
      <c r="C528" s="129" t="s">
        <v>27</v>
      </c>
      <c r="D528" s="130">
        <v>8.6</v>
      </c>
      <c r="E528" s="130">
        <v>5</v>
      </c>
      <c r="F528" s="42">
        <f>IFERROR(VLOOKUP(E528, Table2[],2, FALSE)*D528, "")</f>
        <v>322.5</v>
      </c>
    </row>
    <row r="529" spans="1:6" x14ac:dyDescent="0.25">
      <c r="A529" s="221">
        <v>45983</v>
      </c>
      <c r="B529" s="222">
        <v>1</v>
      </c>
      <c r="C529" s="223" t="s">
        <v>37</v>
      </c>
      <c r="D529" s="224">
        <v>8.6999999999999993</v>
      </c>
      <c r="E529" s="224">
        <v>8.1999999999999993</v>
      </c>
      <c r="F529" s="42">
        <f>IFERROR(VLOOKUP(E529, Table2[],2, FALSE)*D529, "")</f>
        <v>535.04999999999995</v>
      </c>
    </row>
    <row r="530" spans="1:6" x14ac:dyDescent="0.25">
      <c r="A530" s="221">
        <v>45980</v>
      </c>
      <c r="B530" s="222">
        <v>15</v>
      </c>
      <c r="C530" s="223" t="s">
        <v>37</v>
      </c>
      <c r="D530" s="224">
        <v>12.6</v>
      </c>
      <c r="E530" s="224">
        <v>7.2</v>
      </c>
      <c r="F530" s="42">
        <f>IFERROR(VLOOKUP(E530, Table2[],2, FALSE)*D530, "")</f>
        <v>680.4</v>
      </c>
    </row>
    <row r="531" spans="1:6" x14ac:dyDescent="0.25">
      <c r="A531" s="155">
        <v>45968</v>
      </c>
      <c r="B531" s="156">
        <v>10</v>
      </c>
      <c r="C531" s="129" t="s">
        <v>27</v>
      </c>
      <c r="D531" s="130">
        <v>5.0999999999999996</v>
      </c>
      <c r="E531" s="130">
        <v>7.2</v>
      </c>
      <c r="F531" s="42">
        <f>IFERROR(VLOOKUP(E531, Table2[],2, FALSE)*D531, "")</f>
        <v>275.39999999999998</v>
      </c>
    </row>
    <row r="532" spans="1:6" x14ac:dyDescent="0.25">
      <c r="A532" s="221">
        <v>45980</v>
      </c>
      <c r="B532" s="222">
        <v>11</v>
      </c>
      <c r="C532" s="223" t="s">
        <v>37</v>
      </c>
      <c r="D532" s="224">
        <v>1.7</v>
      </c>
      <c r="E532" s="224">
        <v>9.6</v>
      </c>
      <c r="F532" s="42">
        <f>IFERROR(VLOOKUP(E532, Table2[],2, FALSE)*D532, "")</f>
        <v>122.39999999999999</v>
      </c>
    </row>
    <row r="533" spans="1:6" x14ac:dyDescent="0.25">
      <c r="A533" s="155">
        <v>45968</v>
      </c>
      <c r="B533" s="156">
        <v>4</v>
      </c>
      <c r="C533" s="129" t="s">
        <v>27</v>
      </c>
      <c r="D533" s="130">
        <v>14.1</v>
      </c>
      <c r="E533" s="130">
        <v>5.5</v>
      </c>
      <c r="F533" s="42">
        <f>IFERROR(VLOOKUP(E533, Table2[],2, FALSE)*D533, "")</f>
        <v>581.625</v>
      </c>
    </row>
    <row r="534" spans="1:6" x14ac:dyDescent="0.25">
      <c r="A534" s="155">
        <v>45969</v>
      </c>
      <c r="B534" s="156">
        <v>6</v>
      </c>
      <c r="C534" s="129" t="s">
        <v>27</v>
      </c>
      <c r="D534" s="130">
        <v>7.6</v>
      </c>
      <c r="E534" s="130">
        <v>6</v>
      </c>
      <c r="F534" s="42">
        <f>IFERROR(VLOOKUP(E534, Table2[],2, FALSE)*D534, "")</f>
        <v>342</v>
      </c>
    </row>
    <row r="535" spans="1:6" x14ac:dyDescent="0.25">
      <c r="A535" s="155">
        <v>45969</v>
      </c>
      <c r="B535" s="156">
        <v>13</v>
      </c>
      <c r="C535" s="129" t="s">
        <v>27</v>
      </c>
      <c r="D535" s="130">
        <v>2.2999999999999998</v>
      </c>
      <c r="E535" s="130">
        <v>6</v>
      </c>
      <c r="F535" s="42">
        <f>IFERROR(VLOOKUP(E535, Table2[],2, FALSE)*D535, "")</f>
        <v>103.49999999999999</v>
      </c>
    </row>
    <row r="536" spans="1:6" x14ac:dyDescent="0.25">
      <c r="A536" s="221">
        <v>45988</v>
      </c>
      <c r="B536" s="222">
        <v>12</v>
      </c>
      <c r="C536" s="223" t="s">
        <v>37</v>
      </c>
      <c r="D536" s="224">
        <v>4.9000000000000004</v>
      </c>
      <c r="E536" s="224">
        <v>7</v>
      </c>
      <c r="F536" s="42">
        <f>IFERROR(VLOOKUP(E536, Table2[],2, FALSE)*D536, "")</f>
        <v>257.25</v>
      </c>
    </row>
    <row r="537" spans="1:6" x14ac:dyDescent="0.25">
      <c r="A537" s="155">
        <v>45969</v>
      </c>
      <c r="B537" s="156">
        <v>8</v>
      </c>
      <c r="C537" s="129" t="s">
        <v>27</v>
      </c>
      <c r="D537" s="130">
        <v>5</v>
      </c>
      <c r="E537" s="130">
        <v>5.3</v>
      </c>
      <c r="F537" s="42">
        <f>IFERROR(VLOOKUP(E537, Table2[],2, FALSE)*D537, "")</f>
        <v>198.75</v>
      </c>
    </row>
    <row r="538" spans="1:6" x14ac:dyDescent="0.25">
      <c r="A538" s="155">
        <v>45969</v>
      </c>
      <c r="B538" s="156">
        <v>3</v>
      </c>
      <c r="C538" s="129" t="s">
        <v>27</v>
      </c>
      <c r="D538" s="130">
        <v>4.0999999999999996</v>
      </c>
      <c r="E538" s="130">
        <v>6</v>
      </c>
      <c r="F538" s="42">
        <f>IFERROR(VLOOKUP(E538, Table2[],2, FALSE)*D538, "")</f>
        <v>184.49999999999997</v>
      </c>
    </row>
    <row r="539" spans="1:6" x14ac:dyDescent="0.25">
      <c r="A539" s="155">
        <v>45969</v>
      </c>
      <c r="B539" s="156">
        <v>9</v>
      </c>
      <c r="C539" s="129" t="s">
        <v>27</v>
      </c>
      <c r="D539" s="130">
        <v>1.1000000000000001</v>
      </c>
      <c r="E539" s="130">
        <v>7</v>
      </c>
      <c r="F539" s="42">
        <f>IFERROR(VLOOKUP(E539, Table2[],2, FALSE)*D539, "")</f>
        <v>57.750000000000007</v>
      </c>
    </row>
    <row r="540" spans="1:6" x14ac:dyDescent="0.25">
      <c r="A540" s="155">
        <v>45969</v>
      </c>
      <c r="B540" s="156">
        <v>17</v>
      </c>
      <c r="C540" s="129" t="s">
        <v>27</v>
      </c>
      <c r="D540" s="130">
        <v>9.1</v>
      </c>
      <c r="E540" s="130">
        <v>5.7</v>
      </c>
      <c r="F540" s="42">
        <f>IFERROR(VLOOKUP(E540, Table2[],2, FALSE)*D540, "")</f>
        <v>389.02499999999998</v>
      </c>
    </row>
    <row r="541" spans="1:6" x14ac:dyDescent="0.25">
      <c r="A541" s="221">
        <v>45984</v>
      </c>
      <c r="B541" s="222">
        <v>1</v>
      </c>
      <c r="C541" s="223" t="s">
        <v>37</v>
      </c>
      <c r="D541" s="224">
        <v>7.9</v>
      </c>
      <c r="E541" s="224">
        <v>8.4</v>
      </c>
      <c r="F541" s="42">
        <f>IFERROR(VLOOKUP(E541, Table2[],2, FALSE)*D541, "")</f>
        <v>497.70000000000005</v>
      </c>
    </row>
    <row r="542" spans="1:6" x14ac:dyDescent="0.25">
      <c r="A542" s="155">
        <v>45969</v>
      </c>
      <c r="B542" s="156">
        <v>16</v>
      </c>
      <c r="C542" s="129" t="s">
        <v>27</v>
      </c>
      <c r="D542" s="130">
        <v>3.1</v>
      </c>
      <c r="E542" s="130">
        <v>6.2</v>
      </c>
      <c r="F542" s="42">
        <f>IFERROR(VLOOKUP(E542, Table2[],2, FALSE)*D542, "")</f>
        <v>144.15</v>
      </c>
    </row>
    <row r="543" spans="1:6" x14ac:dyDescent="0.25">
      <c r="A543" s="155">
        <v>45969</v>
      </c>
      <c r="B543" s="156">
        <v>10</v>
      </c>
      <c r="C543" s="129" t="s">
        <v>27</v>
      </c>
      <c r="D543" s="130">
        <v>4.9000000000000004</v>
      </c>
      <c r="E543" s="130">
        <v>7.2</v>
      </c>
      <c r="F543" s="42">
        <f>IFERROR(VLOOKUP(E543, Table2[],2, FALSE)*D543, "")</f>
        <v>264.60000000000002</v>
      </c>
    </row>
    <row r="544" spans="1:6" x14ac:dyDescent="0.25">
      <c r="A544" s="155">
        <v>45969</v>
      </c>
      <c r="B544" s="156">
        <v>4</v>
      </c>
      <c r="C544" s="129" t="s">
        <v>27</v>
      </c>
      <c r="D544" s="130">
        <v>11.3</v>
      </c>
      <c r="E544" s="130">
        <v>6</v>
      </c>
      <c r="F544" s="42">
        <f>IFERROR(VLOOKUP(E544, Table2[],2, FALSE)*D544, "")</f>
        <v>508.50000000000006</v>
      </c>
    </row>
    <row r="545" spans="1:6" x14ac:dyDescent="0.25">
      <c r="A545" s="221">
        <v>45980</v>
      </c>
      <c r="B545" s="222">
        <v>11</v>
      </c>
      <c r="C545" s="223" t="s">
        <v>27</v>
      </c>
      <c r="D545" s="224">
        <v>2</v>
      </c>
      <c r="E545" s="224">
        <v>8.9</v>
      </c>
      <c r="F545" s="42">
        <f>IFERROR(VLOOKUP(E545, Table2[],2, FALSE)*D545, "")</f>
        <v>133.5</v>
      </c>
    </row>
    <row r="546" spans="1:6" x14ac:dyDescent="0.25">
      <c r="A546" s="155">
        <v>45970</v>
      </c>
      <c r="B546" s="156">
        <v>6</v>
      </c>
      <c r="C546" s="129" t="s">
        <v>27</v>
      </c>
      <c r="D546" s="130">
        <v>7.2</v>
      </c>
      <c r="E546" s="130">
        <v>6</v>
      </c>
      <c r="F546" s="42">
        <f>IFERROR(VLOOKUP(E546, Table2[],2, FALSE)*D546, "")</f>
        <v>324</v>
      </c>
    </row>
    <row r="547" spans="1:6" x14ac:dyDescent="0.25">
      <c r="A547" s="221">
        <v>45985</v>
      </c>
      <c r="B547" s="222">
        <v>1</v>
      </c>
      <c r="C547" s="223" t="s">
        <v>37</v>
      </c>
      <c r="D547" s="224">
        <v>8.6</v>
      </c>
      <c r="E547" s="224">
        <v>8.5</v>
      </c>
      <c r="F547" s="42">
        <f>IFERROR(VLOOKUP(E547, Table2[],2, FALSE)*D547, "")</f>
        <v>548.25</v>
      </c>
    </row>
    <row r="548" spans="1:6" x14ac:dyDescent="0.25">
      <c r="A548" s="221">
        <v>45989</v>
      </c>
      <c r="B548" s="222">
        <v>12</v>
      </c>
      <c r="C548" s="223" t="s">
        <v>37</v>
      </c>
      <c r="D548" s="224">
        <v>6.2</v>
      </c>
      <c r="E548" s="224">
        <v>6.5</v>
      </c>
      <c r="F548" s="42">
        <f>IFERROR(VLOOKUP(E548, Table2[],2, FALSE)*D548, "")</f>
        <v>302.25</v>
      </c>
    </row>
    <row r="549" spans="1:6" x14ac:dyDescent="0.25">
      <c r="A549" s="155">
        <v>45970</v>
      </c>
      <c r="B549" s="156">
        <v>16</v>
      </c>
      <c r="C549" s="129" t="s">
        <v>27</v>
      </c>
      <c r="D549" s="130">
        <v>3.2</v>
      </c>
      <c r="E549" s="130">
        <v>6.4</v>
      </c>
      <c r="F549" s="42">
        <f>IFERROR(VLOOKUP(E549, Table2[],2, FALSE)*D549, "")</f>
        <v>153.60000000000002</v>
      </c>
    </row>
    <row r="550" spans="1:6" x14ac:dyDescent="0.25">
      <c r="A550" s="155">
        <v>45970</v>
      </c>
      <c r="B550" s="156">
        <v>13</v>
      </c>
      <c r="C550" s="129" t="s">
        <v>27</v>
      </c>
      <c r="D550" s="130">
        <v>2.9</v>
      </c>
      <c r="E550" s="130">
        <v>7.8</v>
      </c>
      <c r="F550" s="42">
        <f>IFERROR(VLOOKUP(E550, Table2[],2, FALSE)*D550, "")</f>
        <v>169.65</v>
      </c>
    </row>
    <row r="551" spans="1:6" x14ac:dyDescent="0.25">
      <c r="A551" s="221">
        <v>45981</v>
      </c>
      <c r="B551" s="222">
        <v>14</v>
      </c>
      <c r="C551" s="223" t="s">
        <v>37</v>
      </c>
      <c r="D551" s="224">
        <v>1.2</v>
      </c>
      <c r="E551" s="224">
        <v>8.6</v>
      </c>
      <c r="F551" s="42">
        <f>IFERROR(VLOOKUP(E551, Table2[],2, FALSE)*D551, "")</f>
        <v>77.399999999999991</v>
      </c>
    </row>
    <row r="552" spans="1:6" x14ac:dyDescent="0.25">
      <c r="A552" s="155">
        <v>45970</v>
      </c>
      <c r="B552" s="156">
        <v>8</v>
      </c>
      <c r="C552" s="129" t="s">
        <v>27</v>
      </c>
      <c r="D552" s="130">
        <v>6.3</v>
      </c>
      <c r="E552" s="130">
        <v>5.8</v>
      </c>
      <c r="F552" s="42">
        <f>IFERROR(VLOOKUP(E552, Table2[],2, FALSE)*D552, "")</f>
        <v>274.05</v>
      </c>
    </row>
    <row r="553" spans="1:6" x14ac:dyDescent="0.25">
      <c r="A553" s="221">
        <v>45990</v>
      </c>
      <c r="B553" s="222">
        <v>7</v>
      </c>
      <c r="C553" s="223" t="s">
        <v>37</v>
      </c>
      <c r="D553" s="224">
        <v>2</v>
      </c>
      <c r="E553" s="224">
        <v>7.3</v>
      </c>
      <c r="F553" s="42">
        <f>IFERROR(VLOOKUP(E553, Table2[],2, FALSE)*D553, "")</f>
        <v>109.5</v>
      </c>
    </row>
    <row r="554" spans="1:6" x14ac:dyDescent="0.25">
      <c r="A554" s="155">
        <v>45970</v>
      </c>
      <c r="B554" s="156">
        <v>3</v>
      </c>
      <c r="C554" s="129" t="s">
        <v>27</v>
      </c>
      <c r="D554" s="130">
        <v>3.6</v>
      </c>
      <c r="E554" s="130">
        <v>6</v>
      </c>
      <c r="F554" s="42">
        <f>IFERROR(VLOOKUP(E554, Table2[],2, FALSE)*D554, "")</f>
        <v>162</v>
      </c>
    </row>
    <row r="555" spans="1:6" x14ac:dyDescent="0.25">
      <c r="A555" s="155">
        <v>45970</v>
      </c>
      <c r="B555" s="156">
        <v>9</v>
      </c>
      <c r="C555" s="129" t="s">
        <v>27</v>
      </c>
      <c r="D555" s="130">
        <v>1</v>
      </c>
      <c r="E555" s="130">
        <v>7</v>
      </c>
      <c r="F555" s="42">
        <f>IFERROR(VLOOKUP(E555, Table2[],2, FALSE)*D555, "")</f>
        <v>52.5</v>
      </c>
    </row>
    <row r="556" spans="1:6" x14ac:dyDescent="0.25">
      <c r="A556" s="221">
        <v>45982</v>
      </c>
      <c r="B556" s="222">
        <v>5</v>
      </c>
      <c r="C556" s="223" t="s">
        <v>37</v>
      </c>
      <c r="D556" s="224">
        <v>2.1</v>
      </c>
      <c r="E556" s="224">
        <v>10</v>
      </c>
      <c r="F556" s="42">
        <f>IFERROR(VLOOKUP(E556, Table2[],2, FALSE)*D556, "")</f>
        <v>157.5</v>
      </c>
    </row>
    <row r="557" spans="1:6" x14ac:dyDescent="0.25">
      <c r="A557" s="155">
        <v>45970</v>
      </c>
      <c r="B557" s="156">
        <v>4</v>
      </c>
      <c r="C557" s="129" t="s">
        <v>27</v>
      </c>
      <c r="D557" s="130">
        <v>13.3</v>
      </c>
      <c r="E557" s="130">
        <v>6</v>
      </c>
      <c r="F557" s="42">
        <f>IFERROR(VLOOKUP(E557, Table2[],2, FALSE)*D557, "")</f>
        <v>598.5</v>
      </c>
    </row>
    <row r="558" spans="1:6" x14ac:dyDescent="0.25">
      <c r="A558" s="155">
        <v>45970</v>
      </c>
      <c r="B558" s="156">
        <v>17</v>
      </c>
      <c r="C558" s="129" t="s">
        <v>27</v>
      </c>
      <c r="D558" s="130">
        <v>8.1999999999999993</v>
      </c>
      <c r="E558" s="130">
        <v>6</v>
      </c>
      <c r="F558" s="42">
        <f>IFERROR(VLOOKUP(E558, Table2[],2, FALSE)*D558, "")</f>
        <v>368.99999999999994</v>
      </c>
    </row>
    <row r="559" spans="1:6" x14ac:dyDescent="0.25">
      <c r="A559" s="221">
        <v>45981</v>
      </c>
      <c r="B559" s="222">
        <v>15</v>
      </c>
      <c r="C559" s="223" t="s">
        <v>37</v>
      </c>
      <c r="D559" s="224">
        <v>11.7</v>
      </c>
      <c r="E559" s="224">
        <v>7.5</v>
      </c>
      <c r="F559" s="42">
        <f>IFERROR(VLOOKUP(E559, Table2[],2, FALSE)*D559, "")</f>
        <v>658.125</v>
      </c>
    </row>
    <row r="560" spans="1:6" x14ac:dyDescent="0.25">
      <c r="A560" s="155">
        <v>45970</v>
      </c>
      <c r="B560" s="156">
        <v>10</v>
      </c>
      <c r="C560" s="129" t="s">
        <v>27</v>
      </c>
      <c r="D560" s="130">
        <v>5.2</v>
      </c>
      <c r="E560" s="130">
        <v>7</v>
      </c>
      <c r="F560" s="42">
        <f>IFERROR(VLOOKUP(E560, Table2[],2, FALSE)*D560, "")</f>
        <v>273</v>
      </c>
    </row>
    <row r="561" spans="1:6" x14ac:dyDescent="0.25">
      <c r="A561" s="221">
        <v>45981</v>
      </c>
      <c r="B561" s="222">
        <v>11</v>
      </c>
      <c r="C561" s="223" t="s">
        <v>37</v>
      </c>
      <c r="D561" s="224">
        <v>1.8</v>
      </c>
      <c r="E561" s="224">
        <v>9.6</v>
      </c>
      <c r="F561" s="42">
        <f>IFERROR(VLOOKUP(E561, Table2[],2, FALSE)*D561, "")</f>
        <v>129.6</v>
      </c>
    </row>
    <row r="562" spans="1:6" x14ac:dyDescent="0.25">
      <c r="A562" s="155">
        <v>45971</v>
      </c>
      <c r="B562" s="156">
        <v>6</v>
      </c>
      <c r="C562" s="129" t="s">
        <v>27</v>
      </c>
      <c r="D562" s="130">
        <v>7.8</v>
      </c>
      <c r="E562" s="130">
        <v>6.2</v>
      </c>
      <c r="F562" s="42">
        <f>IFERROR(VLOOKUP(E562, Table2[],2, FALSE)*D562, "")</f>
        <v>362.7</v>
      </c>
    </row>
    <row r="563" spans="1:6" x14ac:dyDescent="0.25">
      <c r="A563" s="221">
        <v>45986</v>
      </c>
      <c r="B563" s="222">
        <v>1</v>
      </c>
      <c r="C563" s="223" t="s">
        <v>37</v>
      </c>
      <c r="D563" s="224">
        <v>8.5</v>
      </c>
      <c r="E563" s="224">
        <v>8</v>
      </c>
      <c r="F563" s="42">
        <f>IFERROR(VLOOKUP(E563, Table2[],2, FALSE)*D563, "")</f>
        <v>510</v>
      </c>
    </row>
    <row r="564" spans="1:6" x14ac:dyDescent="0.25">
      <c r="A564" s="221">
        <v>45990</v>
      </c>
      <c r="B564" s="222">
        <v>12</v>
      </c>
      <c r="C564" s="223" t="s">
        <v>37</v>
      </c>
      <c r="D564" s="224">
        <v>5.3</v>
      </c>
      <c r="E564" s="224">
        <v>6.3</v>
      </c>
      <c r="F564" s="42">
        <f>IFERROR(VLOOKUP(E564, Table2[],2, FALSE)*D564, "")</f>
        <v>250.42499999999998</v>
      </c>
    </row>
    <row r="565" spans="1:6" x14ac:dyDescent="0.25">
      <c r="A565" s="155">
        <v>45971</v>
      </c>
      <c r="B565" s="156">
        <v>8</v>
      </c>
      <c r="C565" s="129" t="s">
        <v>27</v>
      </c>
      <c r="D565" s="130">
        <v>6.5</v>
      </c>
      <c r="E565" s="130">
        <v>5.8</v>
      </c>
      <c r="F565" s="42">
        <f>IFERROR(VLOOKUP(E565, Table2[],2, FALSE)*D565, "")</f>
        <v>282.75</v>
      </c>
    </row>
    <row r="566" spans="1:6" x14ac:dyDescent="0.25">
      <c r="A566" s="155">
        <v>45971</v>
      </c>
      <c r="B566" s="156">
        <v>13</v>
      </c>
      <c r="C566" s="129" t="s">
        <v>27</v>
      </c>
      <c r="D566" s="130">
        <v>2</v>
      </c>
      <c r="E566" s="130">
        <v>8</v>
      </c>
      <c r="F566" s="42">
        <f>IFERROR(VLOOKUP(E566, Table2[],2, FALSE)*D566, "")</f>
        <v>120</v>
      </c>
    </row>
    <row r="567" spans="1:6" x14ac:dyDescent="0.25">
      <c r="A567" s="155">
        <v>45971</v>
      </c>
      <c r="B567" s="156">
        <v>3</v>
      </c>
      <c r="C567" s="129" t="s">
        <v>27</v>
      </c>
      <c r="D567" s="130">
        <v>4.5</v>
      </c>
      <c r="E567" s="130">
        <v>6.2</v>
      </c>
      <c r="F567" s="42">
        <f>IFERROR(VLOOKUP(E567, Table2[],2, FALSE)*D567, "")</f>
        <v>209.25</v>
      </c>
    </row>
    <row r="568" spans="1:6" x14ac:dyDescent="0.25">
      <c r="A568" s="155">
        <v>45971</v>
      </c>
      <c r="B568" s="156">
        <v>16</v>
      </c>
      <c r="C568" s="129" t="s">
        <v>27</v>
      </c>
      <c r="D568" s="130">
        <v>3.4</v>
      </c>
      <c r="E568" s="130">
        <v>6.3</v>
      </c>
      <c r="F568" s="42">
        <f>IFERROR(VLOOKUP(E568, Table2[],2, FALSE)*D568, "")</f>
        <v>160.65</v>
      </c>
    </row>
    <row r="569" spans="1:6" x14ac:dyDescent="0.25">
      <c r="A569" s="155">
        <v>45971</v>
      </c>
      <c r="B569" s="156">
        <v>9</v>
      </c>
      <c r="C569" s="129" t="s">
        <v>27</v>
      </c>
      <c r="D569" s="130">
        <v>0.9</v>
      </c>
      <c r="E569" s="130">
        <v>8.1999999999999993</v>
      </c>
      <c r="F569" s="42">
        <f>IFERROR(VLOOKUP(E569, Table2[],2, FALSE)*D569, "")</f>
        <v>55.35</v>
      </c>
    </row>
    <row r="570" spans="1:6" x14ac:dyDescent="0.25">
      <c r="A570" s="155">
        <v>45971</v>
      </c>
      <c r="B570" s="156">
        <v>10</v>
      </c>
      <c r="C570" s="129" t="s">
        <v>27</v>
      </c>
      <c r="D570" s="130">
        <v>5.4</v>
      </c>
      <c r="E570" s="130">
        <v>8</v>
      </c>
      <c r="F570" s="42">
        <f>IFERROR(VLOOKUP(E570, Table2[],2, FALSE)*D570, "")</f>
        <v>324</v>
      </c>
    </row>
    <row r="571" spans="1:6" x14ac:dyDescent="0.25">
      <c r="A571" s="155">
        <v>45971</v>
      </c>
      <c r="B571" s="156">
        <v>17</v>
      </c>
      <c r="C571" s="129" t="s">
        <v>27</v>
      </c>
      <c r="D571" s="130">
        <v>8.5</v>
      </c>
      <c r="E571" s="130">
        <v>5.7</v>
      </c>
      <c r="F571" s="42">
        <f>IFERROR(VLOOKUP(E571, Table2[],2, FALSE)*D571, "")</f>
        <v>363.375</v>
      </c>
    </row>
    <row r="572" spans="1:6" x14ac:dyDescent="0.25">
      <c r="A572" s="155">
        <v>45971</v>
      </c>
      <c r="B572" s="156">
        <v>4</v>
      </c>
      <c r="C572" s="129" t="s">
        <v>27</v>
      </c>
      <c r="D572" s="130">
        <v>14.8</v>
      </c>
      <c r="E572" s="130">
        <v>6</v>
      </c>
      <c r="F572" s="42">
        <f>IFERROR(VLOOKUP(E572, Table2[],2, FALSE)*D572, "")</f>
        <v>666</v>
      </c>
    </row>
    <row r="573" spans="1:6" x14ac:dyDescent="0.25">
      <c r="A573" s="221">
        <v>45981</v>
      </c>
      <c r="B573" s="222">
        <v>11</v>
      </c>
      <c r="C573" s="223" t="s">
        <v>27</v>
      </c>
      <c r="D573" s="224">
        <v>2</v>
      </c>
      <c r="E573" s="224">
        <v>9</v>
      </c>
      <c r="F573" s="42">
        <f>IFERROR(VLOOKUP(E573, Table2[],2, FALSE)*D573, "")</f>
        <v>135</v>
      </c>
    </row>
    <row r="574" spans="1:6" x14ac:dyDescent="0.25">
      <c r="A574" s="221">
        <v>45991</v>
      </c>
      <c r="B574" s="222">
        <v>12</v>
      </c>
      <c r="C574" s="223" t="s">
        <v>37</v>
      </c>
      <c r="D574" s="224">
        <v>5.3</v>
      </c>
      <c r="E574" s="224">
        <v>6.2</v>
      </c>
      <c r="F574" s="42">
        <f>IFERROR(VLOOKUP(E574, Table2[],2, FALSE)*D574, "")</f>
        <v>246.45</v>
      </c>
    </row>
    <row r="575" spans="1:6" x14ac:dyDescent="0.25">
      <c r="A575" s="155">
        <v>45972</v>
      </c>
      <c r="B575" s="156">
        <v>6</v>
      </c>
      <c r="C575" s="129" t="s">
        <v>27</v>
      </c>
      <c r="D575" s="130">
        <v>7.4</v>
      </c>
      <c r="E575" s="130">
        <v>6.2</v>
      </c>
      <c r="F575" s="42">
        <f>IFERROR(VLOOKUP(E575, Table2[],2, FALSE)*D575, "")</f>
        <v>344.1</v>
      </c>
    </row>
    <row r="576" spans="1:6" x14ac:dyDescent="0.25">
      <c r="A576" s="155">
        <v>45972</v>
      </c>
      <c r="B576" s="156">
        <v>13</v>
      </c>
      <c r="C576" s="129" t="s">
        <v>27</v>
      </c>
      <c r="D576" s="130">
        <v>0.9</v>
      </c>
      <c r="E576" s="130">
        <v>5</v>
      </c>
      <c r="F576" s="42">
        <f>IFERROR(VLOOKUP(E576, Table2[],2, FALSE)*D576, "")</f>
        <v>33.75</v>
      </c>
    </row>
    <row r="577" spans="1:6" x14ac:dyDescent="0.25">
      <c r="A577" s="221">
        <v>45982</v>
      </c>
      <c r="B577" s="222">
        <v>14</v>
      </c>
      <c r="C577" s="223" t="s">
        <v>37</v>
      </c>
      <c r="D577" s="224">
        <v>1.3</v>
      </c>
      <c r="E577" s="224">
        <v>8.8000000000000007</v>
      </c>
      <c r="F577" s="42">
        <f>IFERROR(VLOOKUP(E577, Table2[],2, FALSE)*D577, "")</f>
        <v>85.8</v>
      </c>
    </row>
    <row r="578" spans="1:6" x14ac:dyDescent="0.25">
      <c r="A578" s="155">
        <v>45972</v>
      </c>
      <c r="B578" s="156">
        <v>16</v>
      </c>
      <c r="C578" s="129" t="s">
        <v>27</v>
      </c>
      <c r="D578" s="130">
        <v>3.6</v>
      </c>
      <c r="E578" s="130">
        <v>6.3</v>
      </c>
      <c r="F578" s="42">
        <f>IFERROR(VLOOKUP(E578, Table2[],2, FALSE)*D578, "")</f>
        <v>170.1</v>
      </c>
    </row>
    <row r="579" spans="1:6" x14ac:dyDescent="0.25">
      <c r="A579" s="221">
        <v>45987</v>
      </c>
      <c r="B579" s="222">
        <v>1</v>
      </c>
      <c r="C579" s="223" t="s">
        <v>37</v>
      </c>
      <c r="D579" s="224">
        <v>6</v>
      </c>
      <c r="E579" s="224">
        <v>9.4</v>
      </c>
      <c r="F579" s="42">
        <f>IFERROR(VLOOKUP(E579, Table2[],2, FALSE)*D579, "")</f>
        <v>423</v>
      </c>
    </row>
    <row r="580" spans="1:6" x14ac:dyDescent="0.25">
      <c r="A580" s="155">
        <v>45972</v>
      </c>
      <c r="B580" s="156">
        <v>9</v>
      </c>
      <c r="C580" s="129" t="s">
        <v>27</v>
      </c>
      <c r="D580" s="130">
        <v>1</v>
      </c>
      <c r="E580" s="130">
        <v>8.1999999999999993</v>
      </c>
      <c r="F580" s="42">
        <f>IFERROR(VLOOKUP(E580, Table2[],2, FALSE)*D580, "")</f>
        <v>61.5</v>
      </c>
    </row>
    <row r="581" spans="1:6" x14ac:dyDescent="0.25">
      <c r="A581" s="155">
        <v>45972</v>
      </c>
      <c r="B581" s="156">
        <v>3</v>
      </c>
      <c r="C581" s="129" t="s">
        <v>27</v>
      </c>
      <c r="D581" s="130">
        <v>4.2</v>
      </c>
      <c r="E581" s="130">
        <v>6.4</v>
      </c>
      <c r="F581" s="42">
        <f>IFERROR(VLOOKUP(E581, Table2[],2, FALSE)*D581, "")</f>
        <v>201.60000000000002</v>
      </c>
    </row>
    <row r="582" spans="1:6" x14ac:dyDescent="0.25">
      <c r="A582" s="221">
        <v>45983</v>
      </c>
      <c r="B582" s="222">
        <v>5</v>
      </c>
      <c r="C582" s="223" t="s">
        <v>37</v>
      </c>
      <c r="D582" s="224">
        <v>2.1</v>
      </c>
      <c r="E582" s="224">
        <v>10</v>
      </c>
      <c r="F582" s="42">
        <f>IFERROR(VLOOKUP(E582, Table2[],2, FALSE)*D582, "")</f>
        <v>157.5</v>
      </c>
    </row>
    <row r="583" spans="1:6" x14ac:dyDescent="0.25">
      <c r="A583" s="155">
        <v>45972</v>
      </c>
      <c r="B583" s="156">
        <v>8</v>
      </c>
      <c r="C583" s="129" t="s">
        <v>27</v>
      </c>
      <c r="D583" s="130">
        <v>6.5</v>
      </c>
      <c r="E583" s="130">
        <v>6</v>
      </c>
      <c r="F583" s="42">
        <f>IFERROR(VLOOKUP(E583, Table2[],2, FALSE)*D583, "")</f>
        <v>292.5</v>
      </c>
    </row>
    <row r="584" spans="1:6" x14ac:dyDescent="0.25">
      <c r="A584" s="221">
        <v>45991</v>
      </c>
      <c r="B584" s="222">
        <v>7</v>
      </c>
      <c r="C584" s="223" t="s">
        <v>37</v>
      </c>
      <c r="D584" s="224">
        <v>2</v>
      </c>
      <c r="E584" s="224">
        <v>7.5</v>
      </c>
      <c r="F584" s="42">
        <f>IFERROR(VLOOKUP(E584, Table2[],2, FALSE)*D584, "")</f>
        <v>112.5</v>
      </c>
    </row>
    <row r="585" spans="1:6" x14ac:dyDescent="0.25">
      <c r="A585" s="155">
        <v>45973</v>
      </c>
      <c r="B585" s="156">
        <v>17</v>
      </c>
      <c r="C585" s="129" t="s">
        <v>27</v>
      </c>
      <c r="D585" s="130">
        <v>7.3</v>
      </c>
      <c r="E585" s="130">
        <v>5.6</v>
      </c>
      <c r="F585" s="42">
        <f>IFERROR(VLOOKUP(E585, Table2[],2, FALSE)*D585, "")</f>
        <v>306.59999999999997</v>
      </c>
    </row>
    <row r="586" spans="1:6" x14ac:dyDescent="0.25">
      <c r="A586" s="221">
        <v>45982</v>
      </c>
      <c r="B586" s="222">
        <v>15</v>
      </c>
      <c r="C586" s="223" t="s">
        <v>37</v>
      </c>
      <c r="D586" s="224">
        <v>11.2</v>
      </c>
      <c r="E586" s="224">
        <v>7.4</v>
      </c>
      <c r="F586" s="42">
        <f>IFERROR(VLOOKUP(E586, Table2[],2, FALSE)*D586, "")</f>
        <v>621.59999999999991</v>
      </c>
    </row>
    <row r="587" spans="1:6" x14ac:dyDescent="0.25">
      <c r="A587" s="221">
        <v>45982</v>
      </c>
      <c r="B587" s="222">
        <v>2</v>
      </c>
      <c r="C587" s="223" t="s">
        <v>37</v>
      </c>
      <c r="D587" s="224">
        <v>1.8</v>
      </c>
      <c r="E587" s="224">
        <v>9.6</v>
      </c>
      <c r="F587" s="42">
        <f>IFERROR(VLOOKUP(E587, Table2[],2, FALSE)*D587, "")</f>
        <v>129.6</v>
      </c>
    </row>
    <row r="588" spans="1:6" x14ac:dyDescent="0.25">
      <c r="A588" s="155">
        <v>45972</v>
      </c>
      <c r="B588" s="156">
        <v>4</v>
      </c>
      <c r="C588" s="129" t="s">
        <v>27</v>
      </c>
      <c r="D588" s="130">
        <v>14.6</v>
      </c>
      <c r="E588" s="130">
        <v>6.2</v>
      </c>
      <c r="F588" s="42">
        <f>IFERROR(VLOOKUP(E588, Table2[],2, FALSE)*D588, "")</f>
        <v>678.9</v>
      </c>
    </row>
    <row r="589" spans="1:6" x14ac:dyDescent="0.25">
      <c r="A589" s="155">
        <v>45972</v>
      </c>
      <c r="B589" s="156">
        <v>10</v>
      </c>
      <c r="C589" s="129" t="s">
        <v>27</v>
      </c>
      <c r="D589" s="130">
        <v>4.8</v>
      </c>
      <c r="E589" s="130">
        <v>7</v>
      </c>
      <c r="F589" s="42">
        <f>IFERROR(VLOOKUP(E589, Table2[],2, FALSE)*D589, "")</f>
        <v>252</v>
      </c>
    </row>
    <row r="590" spans="1:6" x14ac:dyDescent="0.25">
      <c r="A590" s="221">
        <v>45982</v>
      </c>
      <c r="B590" s="222">
        <v>11</v>
      </c>
      <c r="C590" s="223" t="s">
        <v>37</v>
      </c>
      <c r="D590" s="224">
        <v>1.7</v>
      </c>
      <c r="E590" s="224">
        <v>9.6</v>
      </c>
      <c r="F590" s="42">
        <f>IFERROR(VLOOKUP(E590, Table2[],2, FALSE)*D590, "")</f>
        <v>122.39999999999999</v>
      </c>
    </row>
    <row r="591" spans="1:6" x14ac:dyDescent="0.25">
      <c r="A591" s="221">
        <v>45988</v>
      </c>
      <c r="B591" s="222">
        <v>1</v>
      </c>
      <c r="C591" s="223" t="s">
        <v>37</v>
      </c>
      <c r="D591" s="224">
        <v>8.1</v>
      </c>
      <c r="E591" s="224">
        <v>9</v>
      </c>
      <c r="F591" s="42">
        <f>IFERROR(VLOOKUP(E591, Table2[],2, FALSE)*D591, "")</f>
        <v>546.75</v>
      </c>
    </row>
    <row r="592" spans="1:6" x14ac:dyDescent="0.25">
      <c r="A592" s="155">
        <v>45973</v>
      </c>
      <c r="B592" s="156">
        <v>6</v>
      </c>
      <c r="C592" s="129" t="s">
        <v>27</v>
      </c>
      <c r="D592" s="130">
        <v>7.7</v>
      </c>
      <c r="E592" s="130">
        <v>6</v>
      </c>
      <c r="F592" s="42">
        <f>IFERROR(VLOOKUP(E592, Table2[],2, FALSE)*D592, "")</f>
        <v>346.5</v>
      </c>
    </row>
    <row r="593" spans="1:6" x14ac:dyDescent="0.25">
      <c r="A593" s="155">
        <v>45972</v>
      </c>
      <c r="B593" s="156">
        <v>12</v>
      </c>
      <c r="C593" s="129" t="s">
        <v>27</v>
      </c>
      <c r="D593" s="130">
        <v>1.7</v>
      </c>
      <c r="E593" s="130">
        <v>5.6</v>
      </c>
      <c r="F593" s="42">
        <f>IFERROR(VLOOKUP(E593, Table2[],2, FALSE)*D593, "")</f>
        <v>71.399999999999991</v>
      </c>
    </row>
    <row r="594" spans="1:6" x14ac:dyDescent="0.25">
      <c r="A594" s="155">
        <v>45973</v>
      </c>
      <c r="B594" s="156">
        <v>13</v>
      </c>
      <c r="C594" s="129" t="s">
        <v>27</v>
      </c>
      <c r="D594" s="130">
        <v>4.2</v>
      </c>
      <c r="E594" s="130">
        <v>8.6999999999999993</v>
      </c>
      <c r="F594" s="42">
        <f>IFERROR(VLOOKUP(E594, Table2[],2, FALSE)*D594, "")</f>
        <v>274.05</v>
      </c>
    </row>
    <row r="595" spans="1:6" x14ac:dyDescent="0.25">
      <c r="A595" s="155">
        <v>45973</v>
      </c>
      <c r="B595" s="156">
        <v>3</v>
      </c>
      <c r="C595" s="129" t="s">
        <v>27</v>
      </c>
      <c r="D595" s="130">
        <v>4.4000000000000004</v>
      </c>
      <c r="E595" s="130">
        <v>6.2</v>
      </c>
      <c r="F595" s="42">
        <f>IFERROR(VLOOKUP(E595, Table2[],2, FALSE)*D595, "")</f>
        <v>204.60000000000002</v>
      </c>
    </row>
    <row r="596" spans="1:6" x14ac:dyDescent="0.25">
      <c r="A596" s="155">
        <v>45973</v>
      </c>
      <c r="B596" s="156">
        <v>8</v>
      </c>
      <c r="C596" s="129" t="s">
        <v>27</v>
      </c>
      <c r="D596" s="130">
        <v>6.4</v>
      </c>
      <c r="E596" s="130">
        <v>6.2</v>
      </c>
      <c r="F596" s="42">
        <f>IFERROR(VLOOKUP(E596, Table2[],2, FALSE)*D596, "")</f>
        <v>297.60000000000002</v>
      </c>
    </row>
    <row r="597" spans="1:6" x14ac:dyDescent="0.25">
      <c r="A597" s="155">
        <v>45973</v>
      </c>
      <c r="B597" s="156">
        <v>9</v>
      </c>
      <c r="C597" s="129" t="s">
        <v>27</v>
      </c>
      <c r="D597" s="130">
        <v>0.9</v>
      </c>
      <c r="E597" s="130">
        <v>9</v>
      </c>
      <c r="F597" s="42">
        <f>IFERROR(VLOOKUP(E597, Table2[],2, FALSE)*D597, "")</f>
        <v>60.75</v>
      </c>
    </row>
    <row r="598" spans="1:6" x14ac:dyDescent="0.25">
      <c r="A598" s="155">
        <v>45973</v>
      </c>
      <c r="B598" s="156">
        <v>16</v>
      </c>
      <c r="C598" s="129" t="s">
        <v>27</v>
      </c>
      <c r="D598" s="130">
        <v>3.5</v>
      </c>
      <c r="E598" s="130">
        <v>5.5</v>
      </c>
      <c r="F598" s="42">
        <f>IFERROR(VLOOKUP(E598, Table2[],2, FALSE)*D598, "")</f>
        <v>144.375</v>
      </c>
    </row>
    <row r="599" spans="1:6" x14ac:dyDescent="0.25">
      <c r="A599" s="155">
        <v>45974</v>
      </c>
      <c r="B599" s="156">
        <v>17</v>
      </c>
      <c r="C599" s="129" t="s">
        <v>27</v>
      </c>
      <c r="D599" s="130">
        <v>6.9</v>
      </c>
      <c r="E599" s="130">
        <v>6.2</v>
      </c>
      <c r="F599" s="42">
        <f>IFERROR(VLOOKUP(E599, Table2[],2, FALSE)*D599, "")</f>
        <v>320.85000000000002</v>
      </c>
    </row>
    <row r="600" spans="1:6" x14ac:dyDescent="0.25">
      <c r="A600" s="155">
        <v>45973</v>
      </c>
      <c r="B600" s="156">
        <v>10</v>
      </c>
      <c r="C600" s="129" t="s">
        <v>27</v>
      </c>
      <c r="D600" s="130">
        <v>5</v>
      </c>
      <c r="E600" s="130">
        <v>6.8</v>
      </c>
      <c r="F600" s="42">
        <f>IFERROR(VLOOKUP(E600, Table2[],2, FALSE)*D600, "")</f>
        <v>255</v>
      </c>
    </row>
    <row r="601" spans="1:6" x14ac:dyDescent="0.25">
      <c r="A601" s="155">
        <v>45973</v>
      </c>
      <c r="B601" s="156">
        <v>4</v>
      </c>
      <c r="C601" s="129" t="s">
        <v>27</v>
      </c>
      <c r="D601" s="130">
        <v>13.4</v>
      </c>
      <c r="E601" s="130">
        <v>6</v>
      </c>
      <c r="F601" s="42">
        <f>IFERROR(VLOOKUP(E601, Table2[],2, FALSE)*D601, "")</f>
        <v>603</v>
      </c>
    </row>
    <row r="602" spans="1:6" x14ac:dyDescent="0.25">
      <c r="A602" s="221">
        <v>45982</v>
      </c>
      <c r="B602" s="222">
        <v>11</v>
      </c>
      <c r="C602" s="223" t="s">
        <v>27</v>
      </c>
      <c r="D602" s="224">
        <v>2</v>
      </c>
      <c r="E602" s="224">
        <v>9.1</v>
      </c>
      <c r="F602" s="42">
        <f>IFERROR(VLOOKUP(E602, Table2[],2, FALSE)*D602, "")</f>
        <v>136.5</v>
      </c>
    </row>
    <row r="603" spans="1:6" x14ac:dyDescent="0.25">
      <c r="A603" s="155">
        <v>45974</v>
      </c>
      <c r="B603" s="156">
        <v>6</v>
      </c>
      <c r="C603" s="129" t="s">
        <v>27</v>
      </c>
      <c r="D603" s="130">
        <v>7.2</v>
      </c>
      <c r="E603" s="130">
        <v>6.2</v>
      </c>
      <c r="F603" s="42">
        <f>IFERROR(VLOOKUP(E603, Table2[],2, FALSE)*D603, "")</f>
        <v>334.8</v>
      </c>
    </row>
    <row r="604" spans="1:6" x14ac:dyDescent="0.25">
      <c r="A604" s="155">
        <v>45974</v>
      </c>
      <c r="B604" s="156">
        <v>8</v>
      </c>
      <c r="C604" s="129" t="s">
        <v>27</v>
      </c>
      <c r="D604" s="130">
        <v>6.8</v>
      </c>
      <c r="E604" s="130">
        <v>6.2</v>
      </c>
      <c r="F604" s="42">
        <f>IFERROR(VLOOKUP(E604, Table2[],2, FALSE)*D604, "")</f>
        <v>316.2</v>
      </c>
    </row>
    <row r="605" spans="1:6" x14ac:dyDescent="0.25">
      <c r="A605" s="155">
        <v>45974</v>
      </c>
      <c r="B605" s="156">
        <v>9</v>
      </c>
      <c r="C605" s="129" t="s">
        <v>27</v>
      </c>
      <c r="D605" s="130">
        <v>0.9</v>
      </c>
      <c r="E605" s="130">
        <v>8.5</v>
      </c>
      <c r="F605" s="42">
        <f>IFERROR(VLOOKUP(E605, Table2[],2, FALSE)*D605, "")</f>
        <v>57.375</v>
      </c>
    </row>
    <row r="606" spans="1:6" x14ac:dyDescent="0.25">
      <c r="A606" s="221">
        <v>45984</v>
      </c>
      <c r="B606" s="222">
        <v>5</v>
      </c>
      <c r="C606" s="223" t="s">
        <v>37</v>
      </c>
      <c r="D606" s="224">
        <v>1.4</v>
      </c>
      <c r="E606" s="224">
        <v>10</v>
      </c>
      <c r="F606" s="42">
        <f>IFERROR(VLOOKUP(E606, Table2[],2, FALSE)*D606, "")</f>
        <v>105</v>
      </c>
    </row>
    <row r="607" spans="1:6" x14ac:dyDescent="0.25">
      <c r="A607" s="155">
        <v>45974</v>
      </c>
      <c r="B607" s="156">
        <v>16</v>
      </c>
      <c r="C607" s="129" t="s">
        <v>27</v>
      </c>
      <c r="D607" s="130">
        <v>3.1</v>
      </c>
      <c r="E607" s="130">
        <v>6</v>
      </c>
      <c r="F607" s="42">
        <f>IFERROR(VLOOKUP(E607, Table2[],2, FALSE)*D607, "")</f>
        <v>139.5</v>
      </c>
    </row>
    <row r="608" spans="1:6" x14ac:dyDescent="0.25">
      <c r="A608" s="221">
        <v>45989</v>
      </c>
      <c r="B608" s="222">
        <v>1</v>
      </c>
      <c r="C608" s="223" t="s">
        <v>37</v>
      </c>
      <c r="D608" s="224">
        <v>8.5</v>
      </c>
      <c r="E608" s="224">
        <v>9</v>
      </c>
      <c r="F608" s="42">
        <f>IFERROR(VLOOKUP(E608, Table2[],2, FALSE)*D608, "")</f>
        <v>573.75</v>
      </c>
    </row>
    <row r="609" spans="1:6" x14ac:dyDescent="0.25">
      <c r="A609" s="155">
        <v>45962</v>
      </c>
      <c r="B609" s="156">
        <v>7</v>
      </c>
      <c r="C609" s="129" t="s">
        <v>27</v>
      </c>
      <c r="D609" s="130">
        <v>1.8</v>
      </c>
      <c r="E609" s="130">
        <v>7.5</v>
      </c>
      <c r="F609" s="42">
        <f>IFERROR(VLOOKUP(E609, Table2[],2, FALSE)*D609, "")</f>
        <v>101.25</v>
      </c>
    </row>
    <row r="610" spans="1:6" x14ac:dyDescent="0.25">
      <c r="A610" s="155">
        <v>45973</v>
      </c>
      <c r="B610" s="156">
        <v>12</v>
      </c>
      <c r="C610" s="129" t="s">
        <v>27</v>
      </c>
      <c r="D610" s="130">
        <v>2.6</v>
      </c>
      <c r="E610" s="130">
        <v>5.5</v>
      </c>
      <c r="F610" s="42">
        <f>IFERROR(VLOOKUP(E610, Table2[],2, FALSE)*D610, "")</f>
        <v>107.25</v>
      </c>
    </row>
    <row r="611" spans="1:6" x14ac:dyDescent="0.25">
      <c r="A611" s="221">
        <v>45983</v>
      </c>
      <c r="B611" s="222">
        <v>2</v>
      </c>
      <c r="C611" s="223" t="s">
        <v>37</v>
      </c>
      <c r="D611" s="224">
        <v>1.6</v>
      </c>
      <c r="E611" s="224">
        <v>9.4</v>
      </c>
      <c r="F611" s="42">
        <f>IFERROR(VLOOKUP(E611, Table2[],2, FALSE)*D611, "")</f>
        <v>112.80000000000001</v>
      </c>
    </row>
    <row r="612" spans="1:6" x14ac:dyDescent="0.25">
      <c r="A612" s="155">
        <v>45974</v>
      </c>
      <c r="B612" s="156">
        <v>13</v>
      </c>
      <c r="C612" s="129" t="s">
        <v>27</v>
      </c>
      <c r="D612" s="130">
        <v>3.5</v>
      </c>
      <c r="E612" s="130">
        <v>8</v>
      </c>
      <c r="F612" s="42">
        <f>IFERROR(VLOOKUP(E612, Table2[],2, FALSE)*D612, "")</f>
        <v>210</v>
      </c>
    </row>
    <row r="613" spans="1:6" x14ac:dyDescent="0.25">
      <c r="A613" s="221">
        <v>45983</v>
      </c>
      <c r="B613" s="222">
        <v>14</v>
      </c>
      <c r="C613" s="223" t="s">
        <v>37</v>
      </c>
      <c r="D613" s="224">
        <v>1.2</v>
      </c>
      <c r="E613" s="224">
        <v>8.6999999999999993</v>
      </c>
      <c r="F613" s="42">
        <f>IFERROR(VLOOKUP(E613, Table2[],2, FALSE)*D613, "")</f>
        <v>78.3</v>
      </c>
    </row>
    <row r="614" spans="1:6" x14ac:dyDescent="0.25">
      <c r="A614" s="155">
        <v>45974</v>
      </c>
      <c r="B614" s="156">
        <v>3</v>
      </c>
      <c r="C614" s="129" t="s">
        <v>27</v>
      </c>
      <c r="D614" s="130">
        <v>3.9</v>
      </c>
      <c r="E614" s="130">
        <v>6.7</v>
      </c>
      <c r="F614" s="42">
        <f>IFERROR(VLOOKUP(E614, Table2[],2, FALSE)*D614, "")</f>
        <v>195.97499999999999</v>
      </c>
    </row>
    <row r="615" spans="1:6" x14ac:dyDescent="0.25">
      <c r="A615" s="155">
        <v>45972</v>
      </c>
      <c r="B615" s="156">
        <v>17</v>
      </c>
      <c r="C615" s="129" t="s">
        <v>27</v>
      </c>
      <c r="D615" s="130">
        <v>9.3000000000000007</v>
      </c>
      <c r="E615" s="130">
        <v>5.5</v>
      </c>
      <c r="F615" s="42">
        <f>IFERROR(VLOOKUP(E615, Table2[],2, FALSE)*D615, "")</f>
        <v>383.62500000000006</v>
      </c>
    </row>
    <row r="616" spans="1:6" x14ac:dyDescent="0.25">
      <c r="A616" s="221">
        <v>45983</v>
      </c>
      <c r="B616" s="222">
        <v>15</v>
      </c>
      <c r="C616" s="223" t="s">
        <v>37</v>
      </c>
      <c r="D616" s="224">
        <v>11.9</v>
      </c>
      <c r="E616" s="224">
        <v>7</v>
      </c>
      <c r="F616" s="42">
        <f>IFERROR(VLOOKUP(E616, Table2[],2, FALSE)*D616, "")</f>
        <v>624.75</v>
      </c>
    </row>
    <row r="617" spans="1:6" x14ac:dyDescent="0.25">
      <c r="A617" s="155">
        <v>45974</v>
      </c>
      <c r="B617" s="156">
        <v>10</v>
      </c>
      <c r="C617" s="129" t="s">
        <v>27</v>
      </c>
      <c r="D617" s="130">
        <v>4.5999999999999996</v>
      </c>
      <c r="E617" s="130">
        <v>8.1</v>
      </c>
      <c r="F617" s="42">
        <f>IFERROR(VLOOKUP(E617, Table2[],2, FALSE)*D617, "")</f>
        <v>279.45</v>
      </c>
    </row>
    <row r="618" spans="1:6" x14ac:dyDescent="0.25">
      <c r="A618" s="155">
        <v>45974</v>
      </c>
      <c r="B618" s="156">
        <v>4</v>
      </c>
      <c r="C618" s="129" t="s">
        <v>27</v>
      </c>
      <c r="D618" s="130">
        <v>12.3</v>
      </c>
      <c r="E618" s="130">
        <v>6</v>
      </c>
      <c r="F618" s="42">
        <f>IFERROR(VLOOKUP(E618, Table2[],2, FALSE)*D618, "")</f>
        <v>553.5</v>
      </c>
    </row>
    <row r="619" spans="1:6" x14ac:dyDescent="0.25">
      <c r="A619" s="221">
        <v>45983</v>
      </c>
      <c r="B619" s="222">
        <v>11</v>
      </c>
      <c r="C619" s="223" t="s">
        <v>37</v>
      </c>
      <c r="D619" s="224">
        <v>1.6</v>
      </c>
      <c r="E619" s="224">
        <v>9.5</v>
      </c>
      <c r="F619" s="42">
        <f>IFERROR(VLOOKUP(E619, Table2[],2, FALSE)*D619, "")</f>
        <v>114</v>
      </c>
    </row>
    <row r="620" spans="1:6" x14ac:dyDescent="0.25">
      <c r="A620" s="221">
        <v>45990</v>
      </c>
      <c r="B620" s="222">
        <v>1</v>
      </c>
      <c r="C620" s="223" t="s">
        <v>37</v>
      </c>
      <c r="D620" s="224">
        <v>6.7</v>
      </c>
      <c r="E620" s="224">
        <v>7.5</v>
      </c>
      <c r="F620" s="42">
        <f>IFERROR(VLOOKUP(E620, Table2[],2, FALSE)*D620, "")</f>
        <v>376.875</v>
      </c>
    </row>
    <row r="621" spans="1:6" x14ac:dyDescent="0.25">
      <c r="A621" s="155">
        <v>45975</v>
      </c>
      <c r="B621" s="156">
        <v>6</v>
      </c>
      <c r="C621" s="129" t="s">
        <v>27</v>
      </c>
      <c r="D621" s="130">
        <v>7.4</v>
      </c>
      <c r="E621" s="130">
        <v>6.2</v>
      </c>
      <c r="F621" s="42">
        <f>IFERROR(VLOOKUP(E621, Table2[],2, FALSE)*D621, "")</f>
        <v>344.1</v>
      </c>
    </row>
    <row r="622" spans="1:6" x14ac:dyDescent="0.25">
      <c r="A622" s="155">
        <v>45974</v>
      </c>
      <c r="B622" s="156">
        <v>12</v>
      </c>
      <c r="C622" s="129" t="s">
        <v>27</v>
      </c>
      <c r="D622" s="130">
        <v>1.6</v>
      </c>
      <c r="E622" s="130">
        <v>5.5</v>
      </c>
      <c r="F622" s="42">
        <f>IFERROR(VLOOKUP(E622, Table2[],2, FALSE)*D622, "")</f>
        <v>66</v>
      </c>
    </row>
    <row r="623" spans="1:6" x14ac:dyDescent="0.25">
      <c r="A623" s="155">
        <v>45975</v>
      </c>
      <c r="B623" s="156">
        <v>3</v>
      </c>
      <c r="C623" s="129" t="s">
        <v>27</v>
      </c>
      <c r="D623" s="130">
        <v>4.4000000000000004</v>
      </c>
      <c r="E623" s="130">
        <v>6.5</v>
      </c>
      <c r="F623" s="42">
        <f>IFERROR(VLOOKUP(E623, Table2[],2, FALSE)*D623, "")</f>
        <v>214.50000000000003</v>
      </c>
    </row>
    <row r="624" spans="1:6" x14ac:dyDescent="0.25">
      <c r="A624" s="155">
        <v>45975</v>
      </c>
      <c r="B624" s="156">
        <v>9</v>
      </c>
      <c r="C624" s="129" t="s">
        <v>27</v>
      </c>
      <c r="D624" s="130">
        <v>0.9</v>
      </c>
      <c r="E624" s="130">
        <v>8.4</v>
      </c>
      <c r="F624" s="42">
        <f>IFERROR(VLOOKUP(E624, Table2[],2, FALSE)*D624, "")</f>
        <v>56.7</v>
      </c>
    </row>
    <row r="625" spans="1:6" x14ac:dyDescent="0.25">
      <c r="A625" s="155">
        <v>45975</v>
      </c>
      <c r="B625" s="156">
        <v>8</v>
      </c>
      <c r="C625" s="129" t="s">
        <v>27</v>
      </c>
      <c r="D625" s="130">
        <v>6.5</v>
      </c>
      <c r="E625" s="130">
        <v>6</v>
      </c>
      <c r="F625" s="42">
        <f>IFERROR(VLOOKUP(E625, Table2[],2, FALSE)*D625, "")</f>
        <v>292.5</v>
      </c>
    </row>
    <row r="626" spans="1:6" x14ac:dyDescent="0.25">
      <c r="A626" s="155">
        <v>45975</v>
      </c>
      <c r="B626" s="156">
        <v>13</v>
      </c>
      <c r="C626" s="129" t="s">
        <v>27</v>
      </c>
      <c r="D626" s="130">
        <v>2.6</v>
      </c>
      <c r="E626" s="130">
        <v>7.7</v>
      </c>
      <c r="F626" s="42">
        <f>IFERROR(VLOOKUP(E626, Table2[],2, FALSE)*D626, "")</f>
        <v>150.15</v>
      </c>
    </row>
    <row r="627" spans="1:6" x14ac:dyDescent="0.25">
      <c r="A627" s="155">
        <v>45975</v>
      </c>
      <c r="B627" s="156">
        <v>16</v>
      </c>
      <c r="C627" s="129" t="s">
        <v>27</v>
      </c>
      <c r="D627" s="130">
        <v>3.3</v>
      </c>
      <c r="E627" s="130">
        <v>6</v>
      </c>
      <c r="F627" s="42">
        <f>IFERROR(VLOOKUP(E627, Table2[],2, FALSE)*D627, "")</f>
        <v>148.5</v>
      </c>
    </row>
    <row r="628" spans="1:6" x14ac:dyDescent="0.25">
      <c r="A628" s="155">
        <v>45975</v>
      </c>
      <c r="B628" s="156">
        <v>17</v>
      </c>
      <c r="C628" s="129" t="s">
        <v>27</v>
      </c>
      <c r="D628" s="130">
        <v>6.9</v>
      </c>
      <c r="E628" s="130">
        <v>6</v>
      </c>
      <c r="F628" s="42">
        <f>IFERROR(VLOOKUP(E628, Table2[],2, FALSE)*D628, "")</f>
        <v>310.5</v>
      </c>
    </row>
    <row r="629" spans="1:6" x14ac:dyDescent="0.25">
      <c r="A629" s="155">
        <v>45975</v>
      </c>
      <c r="B629" s="156">
        <v>10</v>
      </c>
      <c r="C629" s="129" t="s">
        <v>27</v>
      </c>
      <c r="D629" s="130">
        <v>4.4000000000000004</v>
      </c>
      <c r="E629" s="130">
        <v>7.2</v>
      </c>
      <c r="F629" s="42">
        <f>IFERROR(VLOOKUP(E629, Table2[],2, FALSE)*D629, "")</f>
        <v>237.60000000000002</v>
      </c>
    </row>
    <row r="630" spans="1:6" x14ac:dyDescent="0.25">
      <c r="A630" s="155">
        <v>45975</v>
      </c>
      <c r="B630" s="156">
        <v>4</v>
      </c>
      <c r="C630" s="129" t="s">
        <v>27</v>
      </c>
      <c r="D630" s="130">
        <v>13.6</v>
      </c>
      <c r="E630" s="130">
        <v>6</v>
      </c>
      <c r="F630" s="42">
        <f>IFERROR(VLOOKUP(E630, Table2[],2, FALSE)*D630, "")</f>
        <v>612</v>
      </c>
    </row>
    <row r="631" spans="1:6" x14ac:dyDescent="0.25">
      <c r="A631" s="221">
        <v>45983</v>
      </c>
      <c r="B631" s="222">
        <v>11</v>
      </c>
      <c r="C631" s="223" t="s">
        <v>27</v>
      </c>
      <c r="D631" s="224">
        <v>2</v>
      </c>
      <c r="E631" s="224">
        <v>8.9</v>
      </c>
      <c r="F631" s="42">
        <f>IFERROR(VLOOKUP(E631, Table2[],2, FALSE)*D631, "")</f>
        <v>133.5</v>
      </c>
    </row>
    <row r="632" spans="1:6" x14ac:dyDescent="0.25">
      <c r="A632" s="155">
        <v>45976</v>
      </c>
      <c r="B632" s="156">
        <v>6</v>
      </c>
      <c r="C632" s="129" t="s">
        <v>27</v>
      </c>
      <c r="D632" s="130">
        <v>7.6</v>
      </c>
      <c r="E632" s="130">
        <v>6.5</v>
      </c>
      <c r="F632" s="42">
        <f>IFERROR(VLOOKUP(E632, Table2[],2, FALSE)*D632, "")</f>
        <v>370.5</v>
      </c>
    </row>
    <row r="633" spans="1:6" x14ac:dyDescent="0.25">
      <c r="A633" s="155">
        <v>45976</v>
      </c>
      <c r="B633" s="156">
        <v>16</v>
      </c>
      <c r="C633" s="129" t="s">
        <v>27</v>
      </c>
      <c r="D633" s="130">
        <v>2.9</v>
      </c>
      <c r="E633" s="130">
        <v>6</v>
      </c>
      <c r="F633" s="42">
        <f>IFERROR(VLOOKUP(E633, Table2[],2, FALSE)*D633, "")</f>
        <v>130.5</v>
      </c>
    </row>
    <row r="634" spans="1:6" x14ac:dyDescent="0.25">
      <c r="A634" s="155">
        <v>45976</v>
      </c>
      <c r="B634" s="156">
        <v>3</v>
      </c>
      <c r="C634" s="129" t="s">
        <v>27</v>
      </c>
      <c r="D634" s="130">
        <v>3.9</v>
      </c>
      <c r="E634" s="130">
        <v>6.2</v>
      </c>
      <c r="F634" s="42">
        <f>IFERROR(VLOOKUP(E634, Table2[],2, FALSE)*D634, "")</f>
        <v>181.35</v>
      </c>
    </row>
    <row r="635" spans="1:6" x14ac:dyDescent="0.25">
      <c r="A635" s="221">
        <v>45984</v>
      </c>
      <c r="B635" s="222">
        <v>2</v>
      </c>
      <c r="C635" s="223" t="s">
        <v>37</v>
      </c>
      <c r="D635" s="224">
        <v>1.5</v>
      </c>
      <c r="E635" s="224">
        <v>9.6</v>
      </c>
      <c r="F635" s="42">
        <f>IFERROR(VLOOKUP(E635, Table2[],2, FALSE)*D635, "")</f>
        <v>108</v>
      </c>
    </row>
    <row r="636" spans="1:6" x14ac:dyDescent="0.25">
      <c r="A636" s="155">
        <v>45963</v>
      </c>
      <c r="B636" s="156">
        <v>7</v>
      </c>
      <c r="C636" s="129" t="s">
        <v>27</v>
      </c>
      <c r="D636" s="130">
        <v>1.3</v>
      </c>
      <c r="E636" s="130">
        <v>6.5</v>
      </c>
      <c r="F636" s="42">
        <f>IFERROR(VLOOKUP(E636, Table2[],2, FALSE)*D636, "")</f>
        <v>63.375</v>
      </c>
    </row>
    <row r="637" spans="1:6" x14ac:dyDescent="0.25">
      <c r="A637" s="155">
        <v>45976</v>
      </c>
      <c r="B637" s="156">
        <v>8</v>
      </c>
      <c r="C637" s="129" t="s">
        <v>27</v>
      </c>
      <c r="D637" s="130">
        <v>6.1</v>
      </c>
      <c r="E637" s="130">
        <v>6.2</v>
      </c>
      <c r="F637" s="42">
        <f>IFERROR(VLOOKUP(E637, Table2[],2, FALSE)*D637, "")</f>
        <v>283.64999999999998</v>
      </c>
    </row>
    <row r="638" spans="1:6" x14ac:dyDescent="0.25">
      <c r="A638" s="221">
        <v>45985</v>
      </c>
      <c r="B638" s="222">
        <v>5</v>
      </c>
      <c r="C638" s="223" t="s">
        <v>37</v>
      </c>
      <c r="D638" s="224">
        <v>1.8</v>
      </c>
      <c r="E638" s="224">
        <v>10</v>
      </c>
      <c r="F638" s="42">
        <f>IFERROR(VLOOKUP(E638, Table2[],2, FALSE)*D638, "")</f>
        <v>135</v>
      </c>
    </row>
    <row r="639" spans="1:6" x14ac:dyDescent="0.25">
      <c r="A639" s="155">
        <v>45976</v>
      </c>
      <c r="B639" s="156">
        <v>13</v>
      </c>
      <c r="C639" s="129" t="s">
        <v>27</v>
      </c>
      <c r="D639" s="130">
        <v>2.7</v>
      </c>
      <c r="E639" s="130">
        <v>7.8</v>
      </c>
      <c r="F639" s="42">
        <f>IFERROR(VLOOKUP(E639, Table2[],2, FALSE)*D639, "")</f>
        <v>157.95000000000002</v>
      </c>
    </row>
    <row r="640" spans="1:6" x14ac:dyDescent="0.25">
      <c r="A640" s="221">
        <v>45984</v>
      </c>
      <c r="B640" s="222">
        <v>14</v>
      </c>
      <c r="C640" s="223" t="s">
        <v>37</v>
      </c>
      <c r="D640" s="224">
        <v>1.1000000000000001</v>
      </c>
      <c r="E640" s="224">
        <v>8.8000000000000007</v>
      </c>
      <c r="F640" s="42">
        <f>IFERROR(VLOOKUP(E640, Table2[],2, FALSE)*D640, "")</f>
        <v>72.600000000000009</v>
      </c>
    </row>
    <row r="641" spans="1:6" x14ac:dyDescent="0.25">
      <c r="A641" s="155">
        <v>45976</v>
      </c>
      <c r="B641" s="156">
        <v>17</v>
      </c>
      <c r="C641" s="129" t="s">
        <v>27</v>
      </c>
      <c r="D641" s="130">
        <v>6.2</v>
      </c>
      <c r="E641" s="130">
        <v>6.2</v>
      </c>
      <c r="F641" s="42">
        <f>IFERROR(VLOOKUP(E641, Table2[],2, FALSE)*D641, "")</f>
        <v>288.3</v>
      </c>
    </row>
    <row r="642" spans="1:6" x14ac:dyDescent="0.25">
      <c r="A642" s="155">
        <v>45976</v>
      </c>
      <c r="B642" s="156">
        <v>12</v>
      </c>
      <c r="C642" s="129" t="s">
        <v>27</v>
      </c>
      <c r="D642" s="130">
        <v>1.9</v>
      </c>
      <c r="E642" s="130">
        <v>5.9</v>
      </c>
      <c r="F642" s="42">
        <f>IFERROR(VLOOKUP(E642, Table2[],2, FALSE)*D642, "")</f>
        <v>84.075000000000003</v>
      </c>
    </row>
    <row r="643" spans="1:6" x14ac:dyDescent="0.25">
      <c r="A643" s="155">
        <v>45976</v>
      </c>
      <c r="B643" s="156">
        <v>9</v>
      </c>
      <c r="C643" s="129" t="s">
        <v>27</v>
      </c>
      <c r="D643" s="130">
        <v>1</v>
      </c>
      <c r="E643" s="130">
        <v>8.1999999999999993</v>
      </c>
      <c r="F643" s="42">
        <f>IFERROR(VLOOKUP(E643, Table2[],2, FALSE)*D643, "")</f>
        <v>61.5</v>
      </c>
    </row>
    <row r="644" spans="1:6" x14ac:dyDescent="0.25">
      <c r="A644" s="221">
        <v>45991</v>
      </c>
      <c r="B644" s="222">
        <v>1</v>
      </c>
      <c r="C644" s="223" t="s">
        <v>37</v>
      </c>
      <c r="D644" s="224">
        <v>9.1999999999999993</v>
      </c>
      <c r="E644" s="224">
        <v>9.4</v>
      </c>
      <c r="F644" s="42">
        <f>IFERROR(VLOOKUP(E644, Table2[],2, FALSE)*D644, "")</f>
        <v>648.59999999999991</v>
      </c>
    </row>
    <row r="645" spans="1:6" x14ac:dyDescent="0.25">
      <c r="A645" s="221">
        <v>45984</v>
      </c>
      <c r="B645" s="222">
        <v>15</v>
      </c>
      <c r="C645" s="223" t="s">
        <v>37</v>
      </c>
      <c r="D645" s="224">
        <v>8.8000000000000007</v>
      </c>
      <c r="E645" s="224">
        <v>6.5</v>
      </c>
      <c r="F645" s="42">
        <f>IFERROR(VLOOKUP(E645, Table2[],2, FALSE)*D645, "")</f>
        <v>429.00000000000006</v>
      </c>
    </row>
    <row r="646" spans="1:6" x14ac:dyDescent="0.25">
      <c r="A646" s="155">
        <v>45976</v>
      </c>
      <c r="B646" s="156">
        <v>4</v>
      </c>
      <c r="C646" s="129" t="s">
        <v>27</v>
      </c>
      <c r="D646" s="130">
        <v>14.8</v>
      </c>
      <c r="E646" s="130">
        <v>6.2</v>
      </c>
      <c r="F646" s="42">
        <f>IFERROR(VLOOKUP(E646, Table2[],2, FALSE)*D646, "")</f>
        <v>688.2</v>
      </c>
    </row>
    <row r="647" spans="1:6" x14ac:dyDescent="0.25">
      <c r="A647" s="155">
        <v>45976</v>
      </c>
      <c r="B647" s="156">
        <v>10</v>
      </c>
      <c r="C647" s="129" t="s">
        <v>27</v>
      </c>
      <c r="D647" s="130">
        <v>4.9000000000000004</v>
      </c>
      <c r="E647" s="130">
        <v>7.2</v>
      </c>
      <c r="F647" s="42">
        <f>IFERROR(VLOOKUP(E647, Table2[],2, FALSE)*D647, "")</f>
        <v>264.60000000000002</v>
      </c>
    </row>
    <row r="648" spans="1:6" x14ac:dyDescent="0.25">
      <c r="A648" s="221">
        <v>45984</v>
      </c>
      <c r="B648" s="222">
        <v>11</v>
      </c>
      <c r="C648" s="223" t="s">
        <v>37</v>
      </c>
      <c r="D648" s="224">
        <v>1.6</v>
      </c>
      <c r="E648" s="224">
        <v>9</v>
      </c>
      <c r="F648" s="42">
        <f>IFERROR(VLOOKUP(E648, Table2[],2, FALSE)*D648, "")</f>
        <v>108</v>
      </c>
    </row>
    <row r="649" spans="1:6" x14ac:dyDescent="0.25">
      <c r="A649" s="221">
        <v>45977</v>
      </c>
      <c r="B649" s="222">
        <v>6</v>
      </c>
      <c r="C649" s="223" t="s">
        <v>27</v>
      </c>
      <c r="D649" s="224">
        <v>7.1</v>
      </c>
      <c r="E649" s="224">
        <v>6.2</v>
      </c>
      <c r="F649" s="42">
        <f>IFERROR(VLOOKUP(E649, Table2[],2, FALSE)*D649, "")</f>
        <v>330.15</v>
      </c>
    </row>
    <row r="650" spans="1:6" x14ac:dyDescent="0.25">
      <c r="A650" s="221">
        <v>45977</v>
      </c>
      <c r="B650" s="222">
        <v>12</v>
      </c>
      <c r="C650" s="223" t="s">
        <v>27</v>
      </c>
      <c r="D650" s="224">
        <v>2.4</v>
      </c>
      <c r="E650" s="224">
        <v>6.2</v>
      </c>
      <c r="F650" s="42">
        <f>IFERROR(VLOOKUP(E650, Table2[],2, FALSE)*D650, "")</f>
        <v>111.6</v>
      </c>
    </row>
    <row r="651" spans="1:6" x14ac:dyDescent="0.25">
      <c r="A651" s="221">
        <v>45977</v>
      </c>
      <c r="B651" s="222">
        <v>3</v>
      </c>
      <c r="C651" s="223" t="s">
        <v>27</v>
      </c>
      <c r="D651" s="224">
        <v>3.6</v>
      </c>
      <c r="E651" s="224">
        <v>6.4</v>
      </c>
      <c r="F651" s="42">
        <f>IFERROR(VLOOKUP(E651, Table2[],2, FALSE)*D651, "")</f>
        <v>172.8</v>
      </c>
    </row>
    <row r="652" spans="1:6" x14ac:dyDescent="0.25">
      <c r="A652" s="221">
        <v>45977</v>
      </c>
      <c r="B652" s="222">
        <v>1</v>
      </c>
      <c r="C652" s="223" t="s">
        <v>27</v>
      </c>
      <c r="D652" s="224">
        <v>5.7</v>
      </c>
      <c r="E652" s="224">
        <v>6.8</v>
      </c>
      <c r="F652" s="42">
        <f>IFERROR(VLOOKUP(E652, Table2[],2, FALSE)*D652, "")</f>
        <v>290.7</v>
      </c>
    </row>
    <row r="653" spans="1:6" x14ac:dyDescent="0.25">
      <c r="A653" s="221">
        <v>45977</v>
      </c>
      <c r="B653" s="222">
        <v>13</v>
      </c>
      <c r="C653" s="223" t="s">
        <v>27</v>
      </c>
      <c r="D653" s="224">
        <v>3.4</v>
      </c>
      <c r="E653" s="224">
        <v>7.4</v>
      </c>
      <c r="F653" s="42">
        <f>IFERROR(VLOOKUP(E653, Table2[],2, FALSE)*D653, "")</f>
        <v>188.7</v>
      </c>
    </row>
    <row r="654" spans="1:6" x14ac:dyDescent="0.25">
      <c r="A654" s="221">
        <v>45977</v>
      </c>
      <c r="B654" s="222">
        <v>9</v>
      </c>
      <c r="C654" s="223" t="s">
        <v>27</v>
      </c>
      <c r="D654" s="224">
        <v>1</v>
      </c>
      <c r="E654" s="224">
        <v>7.8</v>
      </c>
      <c r="F654" s="42">
        <f>IFERROR(VLOOKUP(E654, Table2[],2, FALSE)*D654, "")</f>
        <v>58.5</v>
      </c>
    </row>
    <row r="655" spans="1:6" x14ac:dyDescent="0.25">
      <c r="A655" s="221">
        <v>45977</v>
      </c>
      <c r="B655" s="222">
        <v>16</v>
      </c>
      <c r="C655" s="223" t="s">
        <v>27</v>
      </c>
      <c r="D655" s="224">
        <v>3</v>
      </c>
      <c r="E655" s="224">
        <v>6.2</v>
      </c>
      <c r="F655" s="42">
        <f>IFERROR(VLOOKUP(E655, Table2[],2, FALSE)*D655, "")</f>
        <v>139.5</v>
      </c>
    </row>
    <row r="656" spans="1:6" x14ac:dyDescent="0.25">
      <c r="A656" s="221">
        <v>45977</v>
      </c>
      <c r="B656" s="222">
        <v>8</v>
      </c>
      <c r="C656" s="223" t="s">
        <v>27</v>
      </c>
      <c r="D656" s="224">
        <v>6.5</v>
      </c>
      <c r="E656" s="224">
        <v>6.2</v>
      </c>
      <c r="F656" s="42">
        <f>IFERROR(VLOOKUP(E656, Table2[],2, FALSE)*D656, "")</f>
        <v>302.25</v>
      </c>
    </row>
    <row r="657" spans="1:6" x14ac:dyDescent="0.25">
      <c r="A657" s="221">
        <v>45977</v>
      </c>
      <c r="B657" s="222">
        <v>17</v>
      </c>
      <c r="C657" s="223" t="s">
        <v>27</v>
      </c>
      <c r="D657" s="224">
        <v>8.5</v>
      </c>
      <c r="E657" s="224">
        <v>6.3</v>
      </c>
      <c r="F657" s="42">
        <f>IFERROR(VLOOKUP(E657, Table2[],2, FALSE)*D657, "")</f>
        <v>401.625</v>
      </c>
    </row>
    <row r="658" spans="1:6" x14ac:dyDescent="0.25">
      <c r="A658" s="221">
        <v>45977</v>
      </c>
      <c r="B658" s="222">
        <v>4</v>
      </c>
      <c r="C658" s="223" t="s">
        <v>27</v>
      </c>
      <c r="D658" s="224">
        <v>14.5</v>
      </c>
      <c r="E658" s="224">
        <v>6.2</v>
      </c>
      <c r="F658" s="42">
        <f>IFERROR(VLOOKUP(E658, Table2[],2, FALSE)*D658, "")</f>
        <v>674.25</v>
      </c>
    </row>
    <row r="659" spans="1:6" x14ac:dyDescent="0.25">
      <c r="A659" s="221">
        <v>45977</v>
      </c>
      <c r="B659" s="222">
        <v>10</v>
      </c>
      <c r="C659" s="223" t="s">
        <v>27</v>
      </c>
      <c r="D659" s="224">
        <v>4.5999999999999996</v>
      </c>
      <c r="E659" s="224">
        <v>7</v>
      </c>
      <c r="F659" s="42">
        <f>IFERROR(VLOOKUP(E659, Table2[],2, FALSE)*D659, "")</f>
        <v>241.49999999999997</v>
      </c>
    </row>
    <row r="660" spans="1:6" x14ac:dyDescent="0.25">
      <c r="A660" s="221">
        <v>45984</v>
      </c>
      <c r="B660" s="222">
        <v>11</v>
      </c>
      <c r="C660" s="223" t="s">
        <v>27</v>
      </c>
      <c r="D660" s="224">
        <v>2</v>
      </c>
      <c r="E660" s="224">
        <v>8.6</v>
      </c>
      <c r="F660" s="42">
        <f>IFERROR(VLOOKUP(E660, Table2[],2, FALSE)*D660, "")</f>
        <v>129</v>
      </c>
    </row>
    <row r="661" spans="1:6" x14ac:dyDescent="0.25">
      <c r="A661" s="221">
        <v>45978</v>
      </c>
      <c r="B661" s="222">
        <v>6</v>
      </c>
      <c r="C661" s="223" t="s">
        <v>27</v>
      </c>
      <c r="D661" s="224">
        <v>6.9</v>
      </c>
      <c r="E661" s="224">
        <v>6</v>
      </c>
      <c r="F661" s="42">
        <f>IFERROR(VLOOKUP(E661, Table2[],2, FALSE)*D661, "")</f>
        <v>310.5</v>
      </c>
    </row>
    <row r="662" spans="1:6" x14ac:dyDescent="0.25">
      <c r="A662" s="221">
        <v>45978</v>
      </c>
      <c r="B662" s="222">
        <v>16</v>
      </c>
      <c r="C662" s="223" t="s">
        <v>27</v>
      </c>
      <c r="D662" s="224">
        <v>2.7</v>
      </c>
      <c r="E662" s="224">
        <v>6.3</v>
      </c>
      <c r="F662" s="42">
        <f>IFERROR(VLOOKUP(E662, Table2[],2, FALSE)*D662, "")</f>
        <v>127.575</v>
      </c>
    </row>
    <row r="663" spans="1:6" x14ac:dyDescent="0.25">
      <c r="A663" s="221">
        <v>45986</v>
      </c>
      <c r="B663" s="222">
        <v>5</v>
      </c>
      <c r="C663" s="223" t="s">
        <v>37</v>
      </c>
      <c r="D663" s="224">
        <v>1.8</v>
      </c>
      <c r="E663" s="224">
        <v>10</v>
      </c>
      <c r="F663" s="42">
        <f>IFERROR(VLOOKUP(E663, Table2[],2, FALSE)*D663, "")</f>
        <v>135</v>
      </c>
    </row>
    <row r="664" spans="1:6" x14ac:dyDescent="0.25">
      <c r="A664" s="221">
        <v>45978</v>
      </c>
      <c r="B664" s="222">
        <v>8</v>
      </c>
      <c r="C664" s="223" t="s">
        <v>27</v>
      </c>
      <c r="D664" s="224">
        <v>6.1</v>
      </c>
      <c r="E664" s="224">
        <v>6.2</v>
      </c>
      <c r="F664" s="42">
        <f>IFERROR(VLOOKUP(E664, Table2[],2, FALSE)*D664, "")</f>
        <v>283.64999999999998</v>
      </c>
    </row>
    <row r="665" spans="1:6" x14ac:dyDescent="0.25">
      <c r="A665" s="221">
        <v>45978</v>
      </c>
      <c r="B665" s="222">
        <v>13</v>
      </c>
      <c r="C665" s="223" t="s">
        <v>27</v>
      </c>
      <c r="D665" s="224">
        <v>2.2999999999999998</v>
      </c>
      <c r="E665" s="224">
        <v>7.6</v>
      </c>
      <c r="F665" s="42">
        <f>IFERROR(VLOOKUP(E665, Table2[],2, FALSE)*D665, "")</f>
        <v>131.1</v>
      </c>
    </row>
    <row r="666" spans="1:6" x14ac:dyDescent="0.25">
      <c r="A666" s="221">
        <v>45985</v>
      </c>
      <c r="B666" s="222">
        <v>14</v>
      </c>
      <c r="C666" s="223" t="s">
        <v>37</v>
      </c>
      <c r="D666" s="224">
        <v>1.2</v>
      </c>
      <c r="E666" s="224">
        <v>8.5</v>
      </c>
      <c r="F666" s="42">
        <f>IFERROR(VLOOKUP(E666, Table2[],2, FALSE)*D666, "")</f>
        <v>76.5</v>
      </c>
    </row>
    <row r="667" spans="1:6" x14ac:dyDescent="0.25">
      <c r="A667" s="221">
        <v>45978</v>
      </c>
      <c r="B667" s="222">
        <v>9</v>
      </c>
      <c r="C667" s="223" t="s">
        <v>27</v>
      </c>
      <c r="D667" s="224">
        <v>1</v>
      </c>
      <c r="E667" s="224">
        <v>8.3000000000000007</v>
      </c>
      <c r="F667" s="42">
        <f>IFERROR(VLOOKUP(E667, Table2[],2, FALSE)*D667, "")</f>
        <v>62.25</v>
      </c>
    </row>
    <row r="668" spans="1:6" x14ac:dyDescent="0.25">
      <c r="A668" s="221">
        <v>45978</v>
      </c>
      <c r="B668" s="222">
        <v>3</v>
      </c>
      <c r="C668" s="223" t="s">
        <v>27</v>
      </c>
      <c r="D668" s="224">
        <v>4</v>
      </c>
      <c r="E668" s="224">
        <v>6.4</v>
      </c>
      <c r="F668" s="42">
        <f>IFERROR(VLOOKUP(E668, Table2[],2, FALSE)*D668, "")</f>
        <v>192</v>
      </c>
    </row>
    <row r="669" spans="1:6" x14ac:dyDescent="0.25">
      <c r="A669" s="221">
        <v>45978</v>
      </c>
      <c r="B669" s="222">
        <v>12</v>
      </c>
      <c r="C669" s="223" t="s">
        <v>27</v>
      </c>
      <c r="D669" s="224">
        <v>3.7</v>
      </c>
      <c r="E669" s="224">
        <v>5.5</v>
      </c>
      <c r="F669" s="42">
        <f>IFERROR(VLOOKUP(E669, Table2[],2, FALSE)*D669, "")</f>
        <v>152.625</v>
      </c>
    </row>
    <row r="670" spans="1:6" x14ac:dyDescent="0.25">
      <c r="A670" s="155">
        <v>45964</v>
      </c>
      <c r="B670" s="156">
        <v>7</v>
      </c>
      <c r="C670" s="129" t="s">
        <v>27</v>
      </c>
      <c r="D670" s="130">
        <v>1.1000000000000001</v>
      </c>
      <c r="E670" s="130">
        <v>6.2</v>
      </c>
      <c r="F670" s="42">
        <f>IFERROR(VLOOKUP(E670, Table2[],2, FALSE)*D670, "")</f>
        <v>51.150000000000006</v>
      </c>
    </row>
    <row r="671" spans="1:6" x14ac:dyDescent="0.25">
      <c r="A671" s="221">
        <v>45978</v>
      </c>
      <c r="B671" s="222">
        <v>1</v>
      </c>
      <c r="C671" s="223" t="s">
        <v>27</v>
      </c>
      <c r="D671" s="224">
        <v>4.7</v>
      </c>
      <c r="E671" s="224">
        <v>7.1</v>
      </c>
      <c r="F671" s="42">
        <f>IFERROR(VLOOKUP(E671, Table2[],2, FALSE)*D671, "")</f>
        <v>250.27500000000001</v>
      </c>
    </row>
    <row r="672" spans="1:6" x14ac:dyDescent="0.25">
      <c r="A672" s="221">
        <v>45985</v>
      </c>
      <c r="B672" s="222">
        <v>2</v>
      </c>
      <c r="C672" s="223" t="s">
        <v>37</v>
      </c>
      <c r="D672" s="224">
        <v>1.5</v>
      </c>
      <c r="E672" s="224">
        <v>9.5</v>
      </c>
      <c r="F672" s="42">
        <f>IFERROR(VLOOKUP(E672, Table2[],2, FALSE)*D672, "")</f>
        <v>106.875</v>
      </c>
    </row>
    <row r="673" spans="1:6" x14ac:dyDescent="0.25">
      <c r="A673" s="221">
        <v>45978</v>
      </c>
      <c r="B673" s="222">
        <v>17</v>
      </c>
      <c r="C673" s="223" t="s">
        <v>27</v>
      </c>
      <c r="D673" s="224">
        <v>6.2</v>
      </c>
      <c r="E673" s="224">
        <v>6</v>
      </c>
      <c r="F673" s="42">
        <f>IFERROR(VLOOKUP(E673, Table2[],2, FALSE)*D673, "")</f>
        <v>279</v>
      </c>
    </row>
    <row r="674" spans="1:6" x14ac:dyDescent="0.25">
      <c r="A674" s="221">
        <v>45985</v>
      </c>
      <c r="B674" s="222">
        <v>15</v>
      </c>
      <c r="C674" s="223" t="s">
        <v>37</v>
      </c>
      <c r="D674" s="224">
        <v>10.8</v>
      </c>
      <c r="E674" s="224">
        <v>7.7</v>
      </c>
      <c r="F674" s="42">
        <f>IFERROR(VLOOKUP(E674, Table2[],2, FALSE)*D674, "")</f>
        <v>623.70000000000005</v>
      </c>
    </row>
    <row r="675" spans="1:6" x14ac:dyDescent="0.25">
      <c r="A675" s="221">
        <v>45978</v>
      </c>
      <c r="B675" s="222">
        <v>4</v>
      </c>
      <c r="C675" s="223" t="s">
        <v>27</v>
      </c>
      <c r="D675" s="224">
        <v>14.3</v>
      </c>
      <c r="E675" s="224">
        <v>6</v>
      </c>
      <c r="F675" s="42">
        <f>IFERROR(VLOOKUP(E675, Table2[],2, FALSE)*D675, "")</f>
        <v>643.5</v>
      </c>
    </row>
    <row r="676" spans="1:6" x14ac:dyDescent="0.25">
      <c r="A676" s="221">
        <v>45978</v>
      </c>
      <c r="B676" s="222">
        <v>10</v>
      </c>
      <c r="C676" s="223" t="s">
        <v>27</v>
      </c>
      <c r="D676" s="224">
        <v>4.5</v>
      </c>
      <c r="E676" s="224">
        <v>7</v>
      </c>
      <c r="F676" s="42">
        <f>IFERROR(VLOOKUP(E676, Table2[],2, FALSE)*D676, "")</f>
        <v>236.25</v>
      </c>
    </row>
    <row r="677" spans="1:6" x14ac:dyDescent="0.25">
      <c r="A677" s="221">
        <v>45985</v>
      </c>
      <c r="B677" s="222">
        <v>11</v>
      </c>
      <c r="C677" s="223" t="s">
        <v>37</v>
      </c>
      <c r="D677" s="224">
        <v>1.7</v>
      </c>
      <c r="E677" s="224">
        <v>9.4</v>
      </c>
      <c r="F677" s="42">
        <f>IFERROR(VLOOKUP(E677, Table2[],2, FALSE)*D677, "")</f>
        <v>119.85</v>
      </c>
    </row>
    <row r="678" spans="1:6" x14ac:dyDescent="0.25">
      <c r="A678" s="221">
        <v>45979</v>
      </c>
      <c r="B678" s="222">
        <v>6</v>
      </c>
      <c r="C678" s="223" t="s">
        <v>27</v>
      </c>
      <c r="D678" s="224">
        <v>7.2</v>
      </c>
      <c r="E678" s="224">
        <v>6.2</v>
      </c>
      <c r="F678" s="42">
        <f>IFERROR(VLOOKUP(E678, Table2[],2, FALSE)*D678, "")</f>
        <v>334.8</v>
      </c>
    </row>
    <row r="679" spans="1:6" x14ac:dyDescent="0.25">
      <c r="A679" s="221">
        <v>45979</v>
      </c>
      <c r="B679" s="222">
        <v>1</v>
      </c>
      <c r="C679" s="223" t="s">
        <v>27</v>
      </c>
      <c r="D679" s="224">
        <v>3.9</v>
      </c>
      <c r="E679" s="224">
        <v>7.6</v>
      </c>
      <c r="F679" s="42">
        <f>IFERROR(VLOOKUP(E679, Table2[],2, FALSE)*D679, "")</f>
        <v>222.29999999999998</v>
      </c>
    </row>
    <row r="680" spans="1:6" x14ac:dyDescent="0.25">
      <c r="A680" s="221">
        <v>45979</v>
      </c>
      <c r="B680" s="222">
        <v>13</v>
      </c>
      <c r="C680" s="223" t="s">
        <v>27</v>
      </c>
      <c r="D680" s="224">
        <v>2</v>
      </c>
      <c r="E680" s="224">
        <v>8.1999999999999993</v>
      </c>
      <c r="F680" s="42">
        <f>IFERROR(VLOOKUP(E680, Table2[],2, FALSE)*D680, "")</f>
        <v>123</v>
      </c>
    </row>
    <row r="681" spans="1:6" x14ac:dyDescent="0.25">
      <c r="A681" s="221">
        <v>45979</v>
      </c>
      <c r="B681" s="222">
        <v>12</v>
      </c>
      <c r="C681" s="223" t="s">
        <v>27</v>
      </c>
      <c r="D681" s="224">
        <v>2.9</v>
      </c>
      <c r="E681" s="224">
        <v>5.7</v>
      </c>
      <c r="F681" s="42">
        <f>IFERROR(VLOOKUP(E681, Table2[],2, FALSE)*D681, "")</f>
        <v>123.97499999999999</v>
      </c>
    </row>
    <row r="682" spans="1:6" x14ac:dyDescent="0.25">
      <c r="A682" s="221">
        <v>45979</v>
      </c>
      <c r="B682" s="222">
        <v>8</v>
      </c>
      <c r="C682" s="223" t="s">
        <v>27</v>
      </c>
      <c r="D682" s="224">
        <v>6.5</v>
      </c>
      <c r="E682" s="224">
        <v>6.6</v>
      </c>
      <c r="F682" s="42">
        <f>IFERROR(VLOOKUP(E682, Table2[],2, FALSE)*D682, "")</f>
        <v>321.75</v>
      </c>
    </row>
    <row r="683" spans="1:6" x14ac:dyDescent="0.25">
      <c r="A683" s="221">
        <v>45979</v>
      </c>
      <c r="B683" s="222">
        <v>3</v>
      </c>
      <c r="C683" s="223" t="s">
        <v>27</v>
      </c>
      <c r="D683" s="224">
        <v>3.9</v>
      </c>
      <c r="E683" s="224">
        <v>6.7</v>
      </c>
      <c r="F683" s="42">
        <f>IFERROR(VLOOKUP(E683, Table2[],2, FALSE)*D683, "")</f>
        <v>195.97499999999999</v>
      </c>
    </row>
    <row r="684" spans="1:6" x14ac:dyDescent="0.25">
      <c r="A684" s="221">
        <v>45979</v>
      </c>
      <c r="B684" s="222">
        <v>16</v>
      </c>
      <c r="C684" s="223" t="s">
        <v>27</v>
      </c>
      <c r="D684" s="224">
        <v>2.8</v>
      </c>
      <c r="E684" s="224">
        <v>6.4</v>
      </c>
      <c r="F684" s="42">
        <f>IFERROR(VLOOKUP(E684, Table2[],2, FALSE)*D684, "")</f>
        <v>134.39999999999998</v>
      </c>
    </row>
    <row r="685" spans="1:6" x14ac:dyDescent="0.25">
      <c r="A685" s="221">
        <v>45979</v>
      </c>
      <c r="B685" s="222">
        <v>9</v>
      </c>
      <c r="C685" s="223" t="s">
        <v>27</v>
      </c>
      <c r="D685" s="224">
        <v>1</v>
      </c>
      <c r="E685" s="224">
        <v>7.6</v>
      </c>
      <c r="F685" s="42">
        <f>IFERROR(VLOOKUP(E685, Table2[],2, FALSE)*D685, "")</f>
        <v>57</v>
      </c>
    </row>
    <row r="686" spans="1:6" x14ac:dyDescent="0.25">
      <c r="A686" s="221">
        <v>45979</v>
      </c>
      <c r="B686" s="222">
        <v>17</v>
      </c>
      <c r="C686" s="223" t="s">
        <v>27</v>
      </c>
      <c r="D686" s="224">
        <v>7</v>
      </c>
      <c r="E686" s="224">
        <v>5.7</v>
      </c>
      <c r="F686" s="42">
        <f>IFERROR(VLOOKUP(E686, Table2[],2, FALSE)*D686, "")</f>
        <v>299.25</v>
      </c>
    </row>
    <row r="687" spans="1:6" x14ac:dyDescent="0.25">
      <c r="A687" s="221">
        <v>45979</v>
      </c>
      <c r="B687" s="222">
        <v>10</v>
      </c>
      <c r="C687" s="223" t="s">
        <v>27</v>
      </c>
      <c r="D687" s="224">
        <v>5.0999999999999996</v>
      </c>
      <c r="E687" s="224">
        <v>7.6</v>
      </c>
      <c r="F687" s="42">
        <f>IFERROR(VLOOKUP(E687, Table2[],2, FALSE)*D687, "")</f>
        <v>290.7</v>
      </c>
    </row>
    <row r="688" spans="1:6" x14ac:dyDescent="0.25">
      <c r="A688" s="221">
        <v>45979</v>
      </c>
      <c r="B688" s="222">
        <v>4</v>
      </c>
      <c r="C688" s="223" t="s">
        <v>27</v>
      </c>
      <c r="D688" s="224">
        <v>14</v>
      </c>
      <c r="E688" s="224">
        <v>6.4</v>
      </c>
      <c r="F688" s="42">
        <f>IFERROR(VLOOKUP(E688, Table2[],2, FALSE)*D688, "")</f>
        <v>672</v>
      </c>
    </row>
    <row r="689" spans="1:6" x14ac:dyDescent="0.25">
      <c r="A689" s="221">
        <v>45985</v>
      </c>
      <c r="B689" s="222">
        <v>11</v>
      </c>
      <c r="C689" s="223" t="s">
        <v>27</v>
      </c>
      <c r="D689" s="224">
        <v>2</v>
      </c>
      <c r="E689" s="224">
        <v>8.9</v>
      </c>
      <c r="F689" s="42">
        <f>IFERROR(VLOOKUP(E689, Table2[],2, FALSE)*D689, "")</f>
        <v>133.5</v>
      </c>
    </row>
    <row r="690" spans="1:6" x14ac:dyDescent="0.25">
      <c r="A690" s="221">
        <v>45980</v>
      </c>
      <c r="B690" s="222">
        <v>8</v>
      </c>
      <c r="C690" s="223" t="s">
        <v>27</v>
      </c>
      <c r="D690" s="224">
        <v>6.3</v>
      </c>
      <c r="E690" s="224">
        <v>6</v>
      </c>
      <c r="F690" s="42">
        <f>IFERROR(VLOOKUP(E690, Table2[],2, FALSE)*D690, "")</f>
        <v>283.5</v>
      </c>
    </row>
    <row r="691" spans="1:6" x14ac:dyDescent="0.25">
      <c r="A691" s="155">
        <v>45966</v>
      </c>
      <c r="B691" s="156">
        <v>7</v>
      </c>
      <c r="C691" s="129" t="s">
        <v>27</v>
      </c>
      <c r="D691" s="130">
        <v>1.2</v>
      </c>
      <c r="E691" s="130">
        <v>6.3</v>
      </c>
      <c r="F691" s="42">
        <f>IFERROR(VLOOKUP(E691, Table2[],2, FALSE)*D691, "")</f>
        <v>56.699999999999996</v>
      </c>
    </row>
    <row r="692" spans="1:6" x14ac:dyDescent="0.25">
      <c r="A692" s="221">
        <v>45980</v>
      </c>
      <c r="B692" s="222">
        <v>16</v>
      </c>
      <c r="C692" s="223" t="s">
        <v>27</v>
      </c>
      <c r="D692" s="224">
        <v>2.7</v>
      </c>
      <c r="E692" s="224">
        <v>6.6</v>
      </c>
      <c r="F692" s="42">
        <f>IFERROR(VLOOKUP(E692, Table2[],2, FALSE)*D692, "")</f>
        <v>133.65</v>
      </c>
    </row>
    <row r="693" spans="1:6" x14ac:dyDescent="0.25">
      <c r="A693" s="221">
        <v>45980</v>
      </c>
      <c r="B693" s="222">
        <v>3</v>
      </c>
      <c r="C693" s="223" t="s">
        <v>27</v>
      </c>
      <c r="D693" s="224">
        <v>4.0999999999999996</v>
      </c>
      <c r="E693" s="224">
        <v>6.2</v>
      </c>
      <c r="F693" s="42">
        <f>IFERROR(VLOOKUP(E693, Table2[],2, FALSE)*D693, "")</f>
        <v>190.64999999999998</v>
      </c>
    </row>
    <row r="694" spans="1:6" x14ac:dyDescent="0.25">
      <c r="A694" s="221">
        <v>45980</v>
      </c>
      <c r="B694" s="222">
        <v>1</v>
      </c>
      <c r="C694" s="223" t="s">
        <v>27</v>
      </c>
      <c r="D694" s="224">
        <v>4.9000000000000004</v>
      </c>
      <c r="E694" s="224">
        <v>6.5</v>
      </c>
      <c r="F694" s="42">
        <f>IFERROR(VLOOKUP(E694, Table2[],2, FALSE)*D694, "")</f>
        <v>238.87500000000003</v>
      </c>
    </row>
    <row r="695" spans="1:6" x14ac:dyDescent="0.25">
      <c r="A695" s="221">
        <v>45987</v>
      </c>
      <c r="B695" s="222">
        <v>5</v>
      </c>
      <c r="C695" s="223" t="s">
        <v>37</v>
      </c>
      <c r="D695" s="224">
        <v>1.5</v>
      </c>
      <c r="E695" s="224">
        <v>10</v>
      </c>
      <c r="F695" s="42">
        <f>IFERROR(VLOOKUP(E695, Table2[],2, FALSE)*D695, "")</f>
        <v>112.5</v>
      </c>
    </row>
    <row r="696" spans="1:6" x14ac:dyDescent="0.25">
      <c r="A696" s="221">
        <v>45980</v>
      </c>
      <c r="B696" s="222">
        <v>9</v>
      </c>
      <c r="C696" s="223" t="s">
        <v>27</v>
      </c>
      <c r="D696" s="224">
        <v>1</v>
      </c>
      <c r="E696" s="224">
        <v>7.6</v>
      </c>
      <c r="F696" s="42">
        <f>IFERROR(VLOOKUP(E696, Table2[],2, FALSE)*D696, "")</f>
        <v>57</v>
      </c>
    </row>
    <row r="697" spans="1:6" x14ac:dyDescent="0.25">
      <c r="A697" s="221">
        <v>45980</v>
      </c>
      <c r="B697" s="222">
        <v>13</v>
      </c>
      <c r="C697" s="223" t="s">
        <v>27</v>
      </c>
      <c r="D697" s="224">
        <v>2.7</v>
      </c>
      <c r="E697" s="224">
        <v>7.3</v>
      </c>
      <c r="F697" s="42">
        <f>IFERROR(VLOOKUP(E697, Table2[],2, FALSE)*D697, "")</f>
        <v>147.82500000000002</v>
      </c>
    </row>
    <row r="698" spans="1:6" x14ac:dyDescent="0.25">
      <c r="A698" s="221">
        <v>45986</v>
      </c>
      <c r="B698" s="222">
        <v>14</v>
      </c>
      <c r="C698" s="223" t="s">
        <v>37</v>
      </c>
      <c r="D698" s="224">
        <v>1.1000000000000001</v>
      </c>
      <c r="E698" s="224">
        <v>9</v>
      </c>
      <c r="F698" s="42">
        <f>IFERROR(VLOOKUP(E698, Table2[],2, FALSE)*D698, "")</f>
        <v>74.25</v>
      </c>
    </row>
    <row r="699" spans="1:6" x14ac:dyDescent="0.25">
      <c r="A699" s="221">
        <v>45980</v>
      </c>
      <c r="B699" s="222">
        <v>6</v>
      </c>
      <c r="C699" s="223" t="s">
        <v>27</v>
      </c>
      <c r="D699" s="224">
        <v>7.7</v>
      </c>
      <c r="E699" s="224">
        <v>6</v>
      </c>
      <c r="F699" s="42">
        <f>IFERROR(VLOOKUP(E699, Table2[],2, FALSE)*D699, "")</f>
        <v>346.5</v>
      </c>
    </row>
    <row r="700" spans="1:6" x14ac:dyDescent="0.25">
      <c r="A700" s="221">
        <v>45986</v>
      </c>
      <c r="B700" s="222">
        <v>2</v>
      </c>
      <c r="C700" s="223" t="s">
        <v>37</v>
      </c>
      <c r="D700" s="224">
        <v>1.6</v>
      </c>
      <c r="E700" s="224">
        <v>10</v>
      </c>
      <c r="F700" s="42">
        <f>IFERROR(VLOOKUP(E700, Table2[],2, FALSE)*D700, "")</f>
        <v>120</v>
      </c>
    </row>
    <row r="701" spans="1:6" x14ac:dyDescent="0.25">
      <c r="A701" s="221">
        <v>45980</v>
      </c>
      <c r="B701" s="222">
        <v>12</v>
      </c>
      <c r="C701" s="223" t="s">
        <v>27</v>
      </c>
      <c r="D701" s="224">
        <v>2.8</v>
      </c>
      <c r="E701" s="224">
        <v>5.5</v>
      </c>
      <c r="F701" s="42">
        <f>IFERROR(VLOOKUP(E701, Table2[],2, FALSE)*D701, "")</f>
        <v>115.49999999999999</v>
      </c>
    </row>
    <row r="702" spans="1:6" x14ac:dyDescent="0.25">
      <c r="A702" s="221">
        <v>45980</v>
      </c>
      <c r="B702" s="222">
        <v>17</v>
      </c>
      <c r="C702" s="223" t="s">
        <v>27</v>
      </c>
      <c r="D702" s="224">
        <v>7</v>
      </c>
      <c r="E702" s="224">
        <v>5.5</v>
      </c>
      <c r="F702" s="42">
        <f>IFERROR(VLOOKUP(E702, Table2[],2, FALSE)*D702, "")</f>
        <v>288.75</v>
      </c>
    </row>
    <row r="703" spans="1:6" x14ac:dyDescent="0.25">
      <c r="A703" s="221">
        <v>45986</v>
      </c>
      <c r="B703" s="222">
        <v>15</v>
      </c>
      <c r="C703" s="223" t="s">
        <v>37</v>
      </c>
      <c r="D703" s="224">
        <v>9.3000000000000007</v>
      </c>
      <c r="E703" s="224">
        <v>7.8</v>
      </c>
      <c r="F703" s="42">
        <f>IFERROR(VLOOKUP(E703, Table2[],2, FALSE)*D703, "")</f>
        <v>544.05000000000007</v>
      </c>
    </row>
    <row r="704" spans="1:6" x14ac:dyDescent="0.25">
      <c r="A704" s="221">
        <v>45980</v>
      </c>
      <c r="B704" s="222">
        <v>4</v>
      </c>
      <c r="C704" s="223" t="s">
        <v>27</v>
      </c>
      <c r="D704" s="224">
        <v>15.3</v>
      </c>
      <c r="E704" s="224">
        <v>6.2</v>
      </c>
      <c r="F704" s="42">
        <f>IFERROR(VLOOKUP(E704, Table2[],2, FALSE)*D704, "")</f>
        <v>711.45</v>
      </c>
    </row>
    <row r="705" spans="1:6" x14ac:dyDescent="0.25">
      <c r="A705" s="221">
        <v>45980</v>
      </c>
      <c r="B705" s="222">
        <v>10</v>
      </c>
      <c r="C705" s="223" t="s">
        <v>27</v>
      </c>
      <c r="D705" s="224">
        <v>4.4000000000000004</v>
      </c>
      <c r="E705" s="224">
        <v>7</v>
      </c>
      <c r="F705" s="42">
        <f>IFERROR(VLOOKUP(E705, Table2[],2, FALSE)*D705, "")</f>
        <v>231.00000000000003</v>
      </c>
    </row>
    <row r="706" spans="1:6" x14ac:dyDescent="0.25">
      <c r="A706" s="221">
        <v>45986</v>
      </c>
      <c r="B706" s="222">
        <v>11</v>
      </c>
      <c r="C706" s="223" t="s">
        <v>37</v>
      </c>
      <c r="D706" s="224">
        <v>1.8</v>
      </c>
      <c r="E706" s="224">
        <v>9.1</v>
      </c>
      <c r="F706" s="42">
        <f>IFERROR(VLOOKUP(E706, Table2[],2, FALSE)*D706, "")</f>
        <v>122.85000000000001</v>
      </c>
    </row>
    <row r="707" spans="1:6" x14ac:dyDescent="0.25">
      <c r="A707" s="221">
        <v>45981</v>
      </c>
      <c r="B707" s="222">
        <v>1</v>
      </c>
      <c r="C707" s="223" t="s">
        <v>27</v>
      </c>
      <c r="D707" s="224">
        <v>5</v>
      </c>
      <c r="E707" s="224">
        <v>6.9</v>
      </c>
      <c r="F707" s="42">
        <f>IFERROR(VLOOKUP(E707, Table2[],2, FALSE)*D707, "")</f>
        <v>258.75</v>
      </c>
    </row>
    <row r="708" spans="1:6" x14ac:dyDescent="0.25">
      <c r="A708" s="221">
        <v>45981</v>
      </c>
      <c r="B708" s="222">
        <v>6</v>
      </c>
      <c r="C708" s="223" t="s">
        <v>27</v>
      </c>
      <c r="D708" s="224">
        <v>7.4</v>
      </c>
      <c r="E708" s="224">
        <v>5.8</v>
      </c>
      <c r="F708" s="42">
        <f>IFERROR(VLOOKUP(E708, Table2[],2, FALSE)*D708, "")</f>
        <v>321.90000000000003</v>
      </c>
    </row>
    <row r="709" spans="1:6" x14ac:dyDescent="0.25">
      <c r="A709" s="221">
        <v>45981</v>
      </c>
      <c r="B709" s="222">
        <v>12</v>
      </c>
      <c r="C709" s="223" t="s">
        <v>27</v>
      </c>
      <c r="D709" s="224">
        <v>2.2000000000000002</v>
      </c>
      <c r="E709" s="224">
        <v>5.5</v>
      </c>
      <c r="F709" s="42">
        <f>IFERROR(VLOOKUP(E709, Table2[],2, FALSE)*D709, "")</f>
        <v>90.750000000000014</v>
      </c>
    </row>
    <row r="710" spans="1:6" x14ac:dyDescent="0.25">
      <c r="A710" s="221">
        <v>45981</v>
      </c>
      <c r="B710" s="222">
        <v>3</v>
      </c>
      <c r="C710" s="223" t="s">
        <v>27</v>
      </c>
      <c r="D710" s="224">
        <v>4.2</v>
      </c>
      <c r="E710" s="224">
        <v>6.5</v>
      </c>
      <c r="F710" s="42">
        <f>IFERROR(VLOOKUP(E710, Table2[],2, FALSE)*D710, "")</f>
        <v>204.75</v>
      </c>
    </row>
    <row r="711" spans="1:6" x14ac:dyDescent="0.25">
      <c r="A711" s="221">
        <v>45981</v>
      </c>
      <c r="B711" s="222">
        <v>9</v>
      </c>
      <c r="C711" s="223" t="s">
        <v>27</v>
      </c>
      <c r="D711" s="224">
        <v>0.9</v>
      </c>
      <c r="E711" s="224">
        <v>7.5</v>
      </c>
      <c r="F711" s="42">
        <f>IFERROR(VLOOKUP(E711, Table2[],2, FALSE)*D711, "")</f>
        <v>50.625</v>
      </c>
    </row>
    <row r="712" spans="1:6" x14ac:dyDescent="0.25">
      <c r="A712" s="221">
        <v>45981</v>
      </c>
      <c r="B712" s="222">
        <v>8</v>
      </c>
      <c r="C712" s="223" t="s">
        <v>27</v>
      </c>
      <c r="D712" s="224">
        <v>6.8</v>
      </c>
      <c r="E712" s="224">
        <v>6.2</v>
      </c>
      <c r="F712" s="42">
        <f>IFERROR(VLOOKUP(E712, Table2[],2, FALSE)*D712, "")</f>
        <v>316.2</v>
      </c>
    </row>
    <row r="713" spans="1:6" x14ac:dyDescent="0.25">
      <c r="A713" s="221">
        <v>45981</v>
      </c>
      <c r="B713" s="222">
        <v>16</v>
      </c>
      <c r="C713" s="223" t="s">
        <v>27</v>
      </c>
      <c r="D713" s="224">
        <v>2.8</v>
      </c>
      <c r="E713" s="224">
        <v>6.4</v>
      </c>
      <c r="F713" s="42">
        <f>IFERROR(VLOOKUP(E713, Table2[],2, FALSE)*D713, "")</f>
        <v>134.39999999999998</v>
      </c>
    </row>
    <row r="714" spans="1:6" x14ac:dyDescent="0.25">
      <c r="A714" s="221">
        <v>45981</v>
      </c>
      <c r="B714" s="222">
        <v>13</v>
      </c>
      <c r="C714" s="223" t="s">
        <v>27</v>
      </c>
      <c r="D714" s="224">
        <v>2.7</v>
      </c>
      <c r="E714" s="224">
        <v>7.2</v>
      </c>
      <c r="F714" s="42">
        <f>IFERROR(VLOOKUP(E714, Table2[],2, FALSE)*D714, "")</f>
        <v>145.80000000000001</v>
      </c>
    </row>
    <row r="715" spans="1:6" x14ac:dyDescent="0.25">
      <c r="A715" s="221">
        <v>45981</v>
      </c>
      <c r="B715" s="222">
        <v>17</v>
      </c>
      <c r="C715" s="223" t="s">
        <v>27</v>
      </c>
      <c r="D715" s="224">
        <v>6.1</v>
      </c>
      <c r="E715" s="224">
        <v>5.5</v>
      </c>
      <c r="F715" s="42">
        <f>IFERROR(VLOOKUP(E715, Table2[],2, FALSE)*D715, "")</f>
        <v>251.62499999999997</v>
      </c>
    </row>
    <row r="716" spans="1:6" x14ac:dyDescent="0.25">
      <c r="A716" s="221">
        <v>45986</v>
      </c>
      <c r="B716" s="222">
        <v>11</v>
      </c>
      <c r="C716" s="223" t="s">
        <v>27</v>
      </c>
      <c r="D716" s="224">
        <v>2</v>
      </c>
      <c r="E716" s="224">
        <v>8.9</v>
      </c>
      <c r="F716" s="42">
        <f>IFERROR(VLOOKUP(E716, Table2[],2, FALSE)*D716, "")</f>
        <v>133.5</v>
      </c>
    </row>
    <row r="717" spans="1:6" x14ac:dyDescent="0.25">
      <c r="A717" s="221">
        <v>45981</v>
      </c>
      <c r="B717" s="222">
        <v>10</v>
      </c>
      <c r="C717" s="223" t="s">
        <v>27</v>
      </c>
      <c r="D717" s="224">
        <v>4.5</v>
      </c>
      <c r="E717" s="224">
        <v>6.8</v>
      </c>
      <c r="F717" s="42">
        <f>IFERROR(VLOOKUP(E717, Table2[],2, FALSE)*D717, "")</f>
        <v>229.5</v>
      </c>
    </row>
    <row r="718" spans="1:6" x14ac:dyDescent="0.25">
      <c r="A718" s="221">
        <v>45982</v>
      </c>
      <c r="B718" s="222">
        <v>16</v>
      </c>
      <c r="C718" s="223" t="s">
        <v>27</v>
      </c>
      <c r="D718" s="224">
        <v>2.4</v>
      </c>
      <c r="E718" s="224">
        <v>6.4</v>
      </c>
      <c r="F718" s="42">
        <f>IFERROR(VLOOKUP(E718, Table2[],2, FALSE)*D718, "")</f>
        <v>115.19999999999999</v>
      </c>
    </row>
    <row r="719" spans="1:6" x14ac:dyDescent="0.25">
      <c r="A719" s="221">
        <v>45982</v>
      </c>
      <c r="B719" s="222">
        <v>3</v>
      </c>
      <c r="C719" s="223" t="s">
        <v>27</v>
      </c>
      <c r="D719" s="224">
        <v>3.9</v>
      </c>
      <c r="E719" s="224">
        <v>6.7</v>
      </c>
      <c r="F719" s="42">
        <f>IFERROR(VLOOKUP(E719, Table2[],2, FALSE)*D719, "")</f>
        <v>195.97499999999999</v>
      </c>
    </row>
    <row r="720" spans="1:6" x14ac:dyDescent="0.25">
      <c r="A720" s="221">
        <v>45982</v>
      </c>
      <c r="B720" s="222">
        <v>8</v>
      </c>
      <c r="C720" s="223" t="s">
        <v>27</v>
      </c>
      <c r="D720" s="224">
        <v>5.8</v>
      </c>
      <c r="E720" s="224">
        <v>6.2</v>
      </c>
      <c r="F720" s="42">
        <f>IFERROR(VLOOKUP(E720, Table2[],2, FALSE)*D720, "")</f>
        <v>269.7</v>
      </c>
    </row>
    <row r="721" spans="1:6" x14ac:dyDescent="0.25">
      <c r="A721" s="221">
        <v>45988</v>
      </c>
      <c r="B721" s="222">
        <v>5</v>
      </c>
      <c r="C721" s="223" t="s">
        <v>37</v>
      </c>
      <c r="D721" s="224">
        <v>2</v>
      </c>
      <c r="E721" s="224">
        <v>10</v>
      </c>
      <c r="F721" s="42">
        <f>IFERROR(VLOOKUP(E721, Table2[],2, FALSE)*D721, "")</f>
        <v>150</v>
      </c>
    </row>
    <row r="722" spans="1:6" x14ac:dyDescent="0.25">
      <c r="A722" s="221">
        <v>45982</v>
      </c>
      <c r="B722" s="222">
        <v>13</v>
      </c>
      <c r="C722" s="223" t="s">
        <v>27</v>
      </c>
      <c r="D722" s="224">
        <v>2.2999999999999998</v>
      </c>
      <c r="E722" s="224">
        <v>7.6</v>
      </c>
      <c r="F722" s="42">
        <f>IFERROR(VLOOKUP(E722, Table2[],2, FALSE)*D722, "")</f>
        <v>131.1</v>
      </c>
    </row>
    <row r="723" spans="1:6" x14ac:dyDescent="0.25">
      <c r="A723" s="221">
        <v>45987</v>
      </c>
      <c r="B723" s="222">
        <v>14</v>
      </c>
      <c r="C723" s="223" t="s">
        <v>37</v>
      </c>
      <c r="D723" s="224">
        <v>1</v>
      </c>
      <c r="E723" s="224">
        <v>8.5</v>
      </c>
      <c r="F723" s="42">
        <f>IFERROR(VLOOKUP(E723, Table2[],2, FALSE)*D723, "")</f>
        <v>63.75</v>
      </c>
    </row>
    <row r="724" spans="1:6" x14ac:dyDescent="0.25">
      <c r="A724" s="221">
        <v>45982</v>
      </c>
      <c r="B724" s="222">
        <v>9</v>
      </c>
      <c r="C724" s="223" t="s">
        <v>27</v>
      </c>
      <c r="D724" s="224">
        <v>1</v>
      </c>
      <c r="E724" s="224">
        <v>8.4</v>
      </c>
      <c r="F724" s="42">
        <f>IFERROR(VLOOKUP(E724, Table2[],2, FALSE)*D724, "")</f>
        <v>63</v>
      </c>
    </row>
    <row r="725" spans="1:6" x14ac:dyDescent="0.25">
      <c r="A725" s="221">
        <v>45987</v>
      </c>
      <c r="B725" s="222">
        <v>2</v>
      </c>
      <c r="C725" s="223" t="s">
        <v>37</v>
      </c>
      <c r="D725" s="224">
        <v>1.2</v>
      </c>
      <c r="E725" s="224">
        <v>10</v>
      </c>
      <c r="F725" s="42">
        <f>IFERROR(VLOOKUP(E725, Table2[],2, FALSE)*D725, "")</f>
        <v>90</v>
      </c>
    </row>
    <row r="726" spans="1:6" x14ac:dyDescent="0.25">
      <c r="A726" s="221">
        <v>45982</v>
      </c>
      <c r="B726" s="222">
        <v>12</v>
      </c>
      <c r="C726" s="223" t="s">
        <v>27</v>
      </c>
      <c r="D726" s="224">
        <v>1.4</v>
      </c>
      <c r="E726" s="224">
        <v>5.5</v>
      </c>
      <c r="F726" s="42">
        <f>IFERROR(VLOOKUP(E726, Table2[],2, FALSE)*D726, "")</f>
        <v>57.749999999999993</v>
      </c>
    </row>
    <row r="727" spans="1:6" x14ac:dyDescent="0.25">
      <c r="A727" s="155">
        <v>45967</v>
      </c>
      <c r="B727" s="156">
        <v>7</v>
      </c>
      <c r="C727" s="129" t="s">
        <v>27</v>
      </c>
      <c r="D727" s="130">
        <v>1.1000000000000001</v>
      </c>
      <c r="E727" s="130">
        <v>6</v>
      </c>
      <c r="F727" s="42">
        <f>IFERROR(VLOOKUP(E727, Table2[],2, FALSE)*D727, "")</f>
        <v>49.500000000000007</v>
      </c>
    </row>
    <row r="728" spans="1:6" x14ac:dyDescent="0.25">
      <c r="A728" s="221">
        <v>45982</v>
      </c>
      <c r="B728" s="222">
        <v>6</v>
      </c>
      <c r="C728" s="223" t="s">
        <v>27</v>
      </c>
      <c r="D728" s="224">
        <v>7.1</v>
      </c>
      <c r="E728" s="224">
        <v>6.2</v>
      </c>
      <c r="F728" s="42">
        <f>IFERROR(VLOOKUP(E728, Table2[],2, FALSE)*D728, "")</f>
        <v>330.15</v>
      </c>
    </row>
    <row r="729" spans="1:6" x14ac:dyDescent="0.25">
      <c r="A729" s="221">
        <v>45982</v>
      </c>
      <c r="B729" s="222">
        <v>17</v>
      </c>
      <c r="C729" s="223" t="s">
        <v>27</v>
      </c>
      <c r="D729" s="224">
        <v>6.5</v>
      </c>
      <c r="E729" s="224">
        <v>6</v>
      </c>
      <c r="F729" s="42">
        <f>IFERROR(VLOOKUP(E729, Table2[],2, FALSE)*D729, "")</f>
        <v>292.5</v>
      </c>
    </row>
    <row r="730" spans="1:6" x14ac:dyDescent="0.25">
      <c r="A730" s="221">
        <v>45982</v>
      </c>
      <c r="B730" s="222">
        <v>1</v>
      </c>
      <c r="C730" s="223" t="s">
        <v>27</v>
      </c>
      <c r="D730" s="224">
        <v>3.5</v>
      </c>
      <c r="E730" s="224">
        <v>6</v>
      </c>
      <c r="F730" s="42">
        <f>IFERROR(VLOOKUP(E730, Table2[],2, FALSE)*D730, "")</f>
        <v>157.5</v>
      </c>
    </row>
    <row r="731" spans="1:6" x14ac:dyDescent="0.25">
      <c r="A731" s="221">
        <v>45982</v>
      </c>
      <c r="B731" s="222">
        <v>10</v>
      </c>
      <c r="C731" s="223" t="s">
        <v>27</v>
      </c>
      <c r="D731" s="224">
        <v>5.4</v>
      </c>
      <c r="E731" s="224">
        <v>8</v>
      </c>
      <c r="F731" s="42">
        <f>IFERROR(VLOOKUP(E731, Table2[],2, FALSE)*D731, "")</f>
        <v>324</v>
      </c>
    </row>
    <row r="732" spans="1:6" x14ac:dyDescent="0.25">
      <c r="A732" s="221">
        <v>45987</v>
      </c>
      <c r="B732" s="222">
        <v>15</v>
      </c>
      <c r="C732" s="223" t="s">
        <v>37</v>
      </c>
      <c r="D732" s="224">
        <v>11.2</v>
      </c>
      <c r="E732" s="224">
        <v>7</v>
      </c>
      <c r="F732" s="42">
        <f>IFERROR(VLOOKUP(E732, Table2[],2, FALSE)*D732, "")</f>
        <v>588</v>
      </c>
    </row>
    <row r="733" spans="1:6" x14ac:dyDescent="0.25">
      <c r="A733" s="221">
        <v>45987</v>
      </c>
      <c r="B733" s="222">
        <v>11</v>
      </c>
      <c r="C733" s="223" t="s">
        <v>37</v>
      </c>
      <c r="D733" s="224">
        <v>1.6</v>
      </c>
      <c r="E733" s="224">
        <v>9.4</v>
      </c>
      <c r="F733" s="42">
        <f>IFERROR(VLOOKUP(E733, Table2[],2, FALSE)*D733, "")</f>
        <v>112.80000000000001</v>
      </c>
    </row>
    <row r="734" spans="1:6" x14ac:dyDescent="0.25">
      <c r="A734" s="221">
        <v>45981</v>
      </c>
      <c r="B734" s="222">
        <v>4</v>
      </c>
      <c r="C734" s="223" t="s">
        <v>27</v>
      </c>
      <c r="D734" s="224">
        <v>13.2</v>
      </c>
      <c r="E734" s="224">
        <v>6</v>
      </c>
      <c r="F734" s="42">
        <f>IFERROR(VLOOKUP(E734, Table2[],2, FALSE)*D734, "")</f>
        <v>594</v>
      </c>
    </row>
    <row r="735" spans="1:6" x14ac:dyDescent="0.25">
      <c r="A735" s="221">
        <v>45983</v>
      </c>
      <c r="B735" s="222">
        <v>6</v>
      </c>
      <c r="C735" s="223" t="s">
        <v>27</v>
      </c>
      <c r="D735" s="224">
        <v>7</v>
      </c>
      <c r="E735" s="224">
        <v>6</v>
      </c>
      <c r="F735" s="42">
        <f>IFERROR(VLOOKUP(E735, Table2[],2, FALSE)*D735, "")</f>
        <v>315</v>
      </c>
    </row>
    <row r="736" spans="1:6" x14ac:dyDescent="0.25">
      <c r="A736" s="221">
        <v>45983</v>
      </c>
      <c r="B736" s="222">
        <v>1</v>
      </c>
      <c r="C736" s="223" t="s">
        <v>27</v>
      </c>
      <c r="D736" s="224">
        <v>3</v>
      </c>
      <c r="E736" s="224">
        <v>6.1</v>
      </c>
      <c r="F736" s="42">
        <f>IFERROR(VLOOKUP(E736, Table2[],2, FALSE)*D736, "")</f>
        <v>137.25</v>
      </c>
    </row>
    <row r="737" spans="1:6" x14ac:dyDescent="0.25">
      <c r="A737" s="221">
        <v>45983</v>
      </c>
      <c r="B737" s="222">
        <v>3</v>
      </c>
      <c r="C737" s="223" t="s">
        <v>27</v>
      </c>
      <c r="D737" s="224">
        <v>3.6</v>
      </c>
      <c r="E737" s="224">
        <v>6.2</v>
      </c>
      <c r="F737" s="42">
        <f>IFERROR(VLOOKUP(E737, Table2[],2, FALSE)*D737, "")</f>
        <v>167.4</v>
      </c>
    </row>
    <row r="738" spans="1:6" x14ac:dyDescent="0.25">
      <c r="A738" s="221">
        <v>45983</v>
      </c>
      <c r="B738" s="222">
        <v>12</v>
      </c>
      <c r="C738" s="223" t="s">
        <v>27</v>
      </c>
      <c r="D738" s="224">
        <v>3.4</v>
      </c>
      <c r="E738" s="224">
        <v>6</v>
      </c>
      <c r="F738" s="42">
        <f>IFERROR(VLOOKUP(E738, Table2[],2, FALSE)*D738, "")</f>
        <v>153</v>
      </c>
    </row>
    <row r="739" spans="1:6" x14ac:dyDescent="0.25">
      <c r="A739" s="221">
        <v>45983</v>
      </c>
      <c r="B739" s="222">
        <v>8</v>
      </c>
      <c r="C739" s="223" t="s">
        <v>27</v>
      </c>
      <c r="D739" s="224">
        <v>5.3</v>
      </c>
      <c r="E739" s="224">
        <v>6</v>
      </c>
      <c r="F739" s="42">
        <f>IFERROR(VLOOKUP(E739, Table2[],2, FALSE)*D739, "")</f>
        <v>238.5</v>
      </c>
    </row>
    <row r="740" spans="1:6" x14ac:dyDescent="0.25">
      <c r="A740" s="221">
        <v>45983</v>
      </c>
      <c r="B740" s="222">
        <v>9</v>
      </c>
      <c r="C740" s="223" t="s">
        <v>27</v>
      </c>
      <c r="D740" s="224">
        <v>1</v>
      </c>
      <c r="E740" s="224">
        <v>9</v>
      </c>
      <c r="F740" s="42">
        <f>IFERROR(VLOOKUP(E740, Table2[],2, FALSE)*D740, "")</f>
        <v>67.5</v>
      </c>
    </row>
    <row r="741" spans="1:6" x14ac:dyDescent="0.25">
      <c r="A741" s="221">
        <v>45983</v>
      </c>
      <c r="B741" s="222">
        <v>16</v>
      </c>
      <c r="C741" s="223" t="s">
        <v>27</v>
      </c>
      <c r="D741" s="224">
        <v>2.2999999999999998</v>
      </c>
      <c r="E741" s="224">
        <v>6.5</v>
      </c>
      <c r="F741" s="42">
        <f>IFERROR(VLOOKUP(E741, Table2[],2, FALSE)*D741, "")</f>
        <v>112.12499999999999</v>
      </c>
    </row>
    <row r="742" spans="1:6" x14ac:dyDescent="0.25">
      <c r="A742" s="221">
        <v>45983</v>
      </c>
      <c r="B742" s="222">
        <v>13</v>
      </c>
      <c r="C742" s="223" t="s">
        <v>27</v>
      </c>
      <c r="D742" s="224">
        <v>1.6</v>
      </c>
      <c r="E742" s="224">
        <v>7.6</v>
      </c>
      <c r="F742" s="42">
        <f>IFERROR(VLOOKUP(E742, Table2[],2, FALSE)*D742, "")</f>
        <v>91.2</v>
      </c>
    </row>
    <row r="743" spans="1:6" x14ac:dyDescent="0.25">
      <c r="A743" s="221">
        <v>45983</v>
      </c>
      <c r="B743" s="222">
        <v>10</v>
      </c>
      <c r="C743" s="223" t="s">
        <v>27</v>
      </c>
      <c r="D743" s="224">
        <v>4.7</v>
      </c>
      <c r="E743" s="224">
        <v>7.5</v>
      </c>
      <c r="F743" s="42">
        <f>IFERROR(VLOOKUP(E743, Table2[],2, FALSE)*D743, "")</f>
        <v>264.375</v>
      </c>
    </row>
    <row r="744" spans="1:6" x14ac:dyDescent="0.25">
      <c r="A744" s="221">
        <v>45983</v>
      </c>
      <c r="B744" s="222">
        <v>17</v>
      </c>
      <c r="C744" s="223" t="s">
        <v>27</v>
      </c>
      <c r="D744" s="224">
        <v>6.5</v>
      </c>
      <c r="E744" s="224">
        <v>5.3</v>
      </c>
      <c r="F744" s="42">
        <f>IFERROR(VLOOKUP(E744, Table2[],2, FALSE)*D744, "")</f>
        <v>258.375</v>
      </c>
    </row>
    <row r="745" spans="1:6" x14ac:dyDescent="0.25">
      <c r="A745" s="221">
        <v>45982</v>
      </c>
      <c r="B745" s="222">
        <v>4</v>
      </c>
      <c r="C745" s="223" t="s">
        <v>27</v>
      </c>
      <c r="D745" s="224">
        <v>13.8</v>
      </c>
      <c r="E745" s="224">
        <v>6</v>
      </c>
      <c r="F745" s="42">
        <f>IFERROR(VLOOKUP(E745, Table2[],2, FALSE)*D745, "")</f>
        <v>621</v>
      </c>
    </row>
    <row r="746" spans="1:6" x14ac:dyDescent="0.25">
      <c r="A746" s="221">
        <v>45987</v>
      </c>
      <c r="B746" s="222">
        <v>11</v>
      </c>
      <c r="C746" s="223" t="s">
        <v>27</v>
      </c>
      <c r="D746" s="224">
        <v>2</v>
      </c>
      <c r="E746" s="224">
        <v>9.1</v>
      </c>
      <c r="F746" s="42">
        <f>IFERROR(VLOOKUP(E746, Table2[],2, FALSE)*D746, "")</f>
        <v>136.5</v>
      </c>
    </row>
    <row r="747" spans="1:6" x14ac:dyDescent="0.25">
      <c r="A747" s="221">
        <v>45984</v>
      </c>
      <c r="B747" s="222">
        <v>16</v>
      </c>
      <c r="C747" s="223" t="s">
        <v>27</v>
      </c>
      <c r="D747" s="224">
        <v>2.4</v>
      </c>
      <c r="E747" s="224">
        <v>6.6</v>
      </c>
      <c r="F747" s="42">
        <f>IFERROR(VLOOKUP(E747, Table2[],2, FALSE)*D747, "")</f>
        <v>118.8</v>
      </c>
    </row>
    <row r="748" spans="1:6" x14ac:dyDescent="0.25">
      <c r="A748" s="155">
        <v>45968</v>
      </c>
      <c r="B748" s="156">
        <v>7</v>
      </c>
      <c r="C748" s="129" t="s">
        <v>27</v>
      </c>
      <c r="D748" s="130">
        <v>1</v>
      </c>
      <c r="E748" s="130">
        <v>6</v>
      </c>
      <c r="F748" s="42">
        <f>IFERROR(VLOOKUP(E748, Table2[],2, FALSE)*D748, "")</f>
        <v>45</v>
      </c>
    </row>
    <row r="749" spans="1:6" x14ac:dyDescent="0.25">
      <c r="A749" s="221">
        <v>45984</v>
      </c>
      <c r="B749" s="222">
        <v>8</v>
      </c>
      <c r="C749" s="223" t="s">
        <v>27</v>
      </c>
      <c r="D749" s="224">
        <v>6</v>
      </c>
      <c r="E749" s="224">
        <v>6.4</v>
      </c>
      <c r="F749" s="42">
        <f>IFERROR(VLOOKUP(E749, Table2[],2, FALSE)*D749, "")</f>
        <v>288</v>
      </c>
    </row>
    <row r="750" spans="1:6" x14ac:dyDescent="0.25">
      <c r="A750" s="221">
        <v>45989</v>
      </c>
      <c r="B750" s="222">
        <v>5</v>
      </c>
      <c r="C750" s="223" t="s">
        <v>37</v>
      </c>
      <c r="D750" s="224">
        <v>1.9</v>
      </c>
      <c r="E750" s="224">
        <v>10</v>
      </c>
      <c r="F750" s="42">
        <f>IFERROR(VLOOKUP(E750, Table2[],2, FALSE)*D750, "")</f>
        <v>142.5</v>
      </c>
    </row>
    <row r="751" spans="1:6" x14ac:dyDescent="0.25">
      <c r="A751" s="221">
        <v>45984</v>
      </c>
      <c r="B751" s="222">
        <v>13</v>
      </c>
      <c r="C751" s="223" t="s">
        <v>27</v>
      </c>
      <c r="D751" s="224">
        <v>2</v>
      </c>
      <c r="E751" s="224">
        <v>7.8</v>
      </c>
      <c r="F751" s="42">
        <f>IFERROR(VLOOKUP(E751, Table2[],2, FALSE)*D751, "")</f>
        <v>117</v>
      </c>
    </row>
    <row r="752" spans="1:6" x14ac:dyDescent="0.25">
      <c r="A752" s="221">
        <v>45988</v>
      </c>
      <c r="B752" s="222">
        <v>14</v>
      </c>
      <c r="C752" s="223" t="s">
        <v>37</v>
      </c>
      <c r="D752" s="224">
        <v>1</v>
      </c>
      <c r="E752" s="224">
        <v>9</v>
      </c>
      <c r="F752" s="42">
        <f>IFERROR(VLOOKUP(E752, Table2[],2, FALSE)*D752, "")</f>
        <v>67.5</v>
      </c>
    </row>
    <row r="753" spans="1:6" x14ac:dyDescent="0.25">
      <c r="A753" s="221">
        <v>45984</v>
      </c>
      <c r="B753" s="222">
        <v>3</v>
      </c>
      <c r="C753" s="223" t="s">
        <v>27</v>
      </c>
      <c r="D753" s="224">
        <v>3.4</v>
      </c>
      <c r="E753" s="224">
        <v>7.1</v>
      </c>
      <c r="F753" s="42">
        <f>IFERROR(VLOOKUP(E753, Table2[],2, FALSE)*D753, "")</f>
        <v>181.04999999999998</v>
      </c>
    </row>
    <row r="754" spans="1:6" x14ac:dyDescent="0.25">
      <c r="A754" s="221">
        <v>45984</v>
      </c>
      <c r="B754" s="222">
        <v>1</v>
      </c>
      <c r="C754" s="223" t="s">
        <v>27</v>
      </c>
      <c r="D754" s="224">
        <v>3</v>
      </c>
      <c r="E754" s="224">
        <v>6.2</v>
      </c>
      <c r="F754" s="42">
        <f>IFERROR(VLOOKUP(E754, Table2[],2, FALSE)*D754, "")</f>
        <v>139.5</v>
      </c>
    </row>
    <row r="755" spans="1:6" x14ac:dyDescent="0.25">
      <c r="A755" s="221">
        <v>45984</v>
      </c>
      <c r="B755" s="222">
        <v>9</v>
      </c>
      <c r="C755" s="223" t="s">
        <v>27</v>
      </c>
      <c r="D755" s="224">
        <v>0.9</v>
      </c>
      <c r="E755" s="224">
        <v>9</v>
      </c>
      <c r="F755" s="42">
        <f>IFERROR(VLOOKUP(E755, Table2[],2, FALSE)*D755, "")</f>
        <v>60.75</v>
      </c>
    </row>
    <row r="756" spans="1:6" x14ac:dyDescent="0.25">
      <c r="A756" s="221">
        <v>45984</v>
      </c>
      <c r="B756" s="222">
        <v>6</v>
      </c>
      <c r="C756" s="223" t="s">
        <v>27</v>
      </c>
      <c r="D756" s="224">
        <v>6.9</v>
      </c>
      <c r="E756" s="224">
        <v>6</v>
      </c>
      <c r="F756" s="42">
        <f>IFERROR(VLOOKUP(E756, Table2[],2, FALSE)*D756, "")</f>
        <v>310.5</v>
      </c>
    </row>
    <row r="757" spans="1:6" x14ac:dyDescent="0.25">
      <c r="A757" s="221">
        <v>45984</v>
      </c>
      <c r="B757" s="222">
        <v>12</v>
      </c>
      <c r="C757" s="223" t="s">
        <v>27</v>
      </c>
      <c r="D757" s="224">
        <v>2.2999999999999998</v>
      </c>
      <c r="E757" s="224">
        <v>7.4</v>
      </c>
      <c r="F757" s="42">
        <f>IFERROR(VLOOKUP(E757, Table2[],2, FALSE)*D757, "")</f>
        <v>127.64999999999999</v>
      </c>
    </row>
    <row r="758" spans="1:6" x14ac:dyDescent="0.25">
      <c r="A758" s="221">
        <v>45984</v>
      </c>
      <c r="B758" s="222">
        <v>17</v>
      </c>
      <c r="C758" s="223" t="s">
        <v>27</v>
      </c>
      <c r="D758" s="224">
        <v>8.1</v>
      </c>
      <c r="E758" s="224">
        <v>6</v>
      </c>
      <c r="F758" s="42">
        <f>IFERROR(VLOOKUP(E758, Table2[],2, FALSE)*D758, "")</f>
        <v>364.5</v>
      </c>
    </row>
    <row r="759" spans="1:6" x14ac:dyDescent="0.25">
      <c r="A759" s="221">
        <v>45983</v>
      </c>
      <c r="B759" s="222">
        <v>4</v>
      </c>
      <c r="C759" s="223" t="s">
        <v>27</v>
      </c>
      <c r="D759" s="224">
        <v>13</v>
      </c>
      <c r="E759" s="224">
        <v>6.2</v>
      </c>
      <c r="F759" s="42">
        <f>IFERROR(VLOOKUP(E759, Table2[],2, FALSE)*D759, "")</f>
        <v>604.5</v>
      </c>
    </row>
    <row r="760" spans="1:6" x14ac:dyDescent="0.25">
      <c r="A760" s="221">
        <v>45988</v>
      </c>
      <c r="B760" s="222">
        <v>15</v>
      </c>
      <c r="C760" s="223" t="s">
        <v>37</v>
      </c>
      <c r="D760" s="224">
        <v>10.5</v>
      </c>
      <c r="E760" s="224">
        <v>7</v>
      </c>
      <c r="F760" s="42">
        <f>IFERROR(VLOOKUP(E760, Table2[],2, FALSE)*D760, "")</f>
        <v>551.25</v>
      </c>
    </row>
    <row r="761" spans="1:6" x14ac:dyDescent="0.25">
      <c r="A761" s="221">
        <v>45984</v>
      </c>
      <c r="B761" s="222">
        <v>10</v>
      </c>
      <c r="C761" s="223" t="s">
        <v>27</v>
      </c>
      <c r="D761" s="224">
        <v>4.3</v>
      </c>
      <c r="E761" s="224">
        <v>7.5</v>
      </c>
      <c r="F761" s="42">
        <f>IFERROR(VLOOKUP(E761, Table2[],2, FALSE)*D761, "")</f>
        <v>241.875</v>
      </c>
    </row>
    <row r="762" spans="1:6" x14ac:dyDescent="0.25">
      <c r="A762" s="221">
        <v>45988</v>
      </c>
      <c r="B762" s="222">
        <v>11</v>
      </c>
      <c r="C762" s="223" t="s">
        <v>37</v>
      </c>
      <c r="D762" s="224">
        <v>1.6</v>
      </c>
      <c r="E762" s="224">
        <v>9.5</v>
      </c>
      <c r="F762" s="42">
        <f>IFERROR(VLOOKUP(E762, Table2[],2, FALSE)*D762, "")</f>
        <v>114</v>
      </c>
    </row>
    <row r="763" spans="1:6" x14ac:dyDescent="0.25">
      <c r="A763" s="221">
        <v>45985</v>
      </c>
      <c r="B763" s="222">
        <v>12</v>
      </c>
      <c r="C763" s="223" t="s">
        <v>27</v>
      </c>
      <c r="D763" s="224">
        <v>2.4</v>
      </c>
      <c r="E763" s="224">
        <v>5.8</v>
      </c>
      <c r="F763" s="42">
        <f>IFERROR(VLOOKUP(E763, Table2[],2, FALSE)*D763, "")</f>
        <v>104.39999999999999</v>
      </c>
    </row>
    <row r="764" spans="1:6" x14ac:dyDescent="0.25">
      <c r="A764" s="221">
        <v>45985</v>
      </c>
      <c r="B764" s="222">
        <v>6</v>
      </c>
      <c r="C764" s="223" t="s">
        <v>27</v>
      </c>
      <c r="D764" s="224">
        <v>6.6</v>
      </c>
      <c r="E764" s="224">
        <v>6</v>
      </c>
      <c r="F764" s="42">
        <f>IFERROR(VLOOKUP(E764, Table2[],2, FALSE)*D764, "")</f>
        <v>297</v>
      </c>
    </row>
    <row r="765" spans="1:6" x14ac:dyDescent="0.25">
      <c r="A765" s="221">
        <v>45985</v>
      </c>
      <c r="B765" s="222">
        <v>1</v>
      </c>
      <c r="C765" s="223" t="s">
        <v>27</v>
      </c>
      <c r="D765" s="224">
        <v>3.2</v>
      </c>
      <c r="E765" s="224">
        <v>6.6</v>
      </c>
      <c r="F765" s="42">
        <f>IFERROR(VLOOKUP(E765, Table2[],2, FALSE)*D765, "")</f>
        <v>158.4</v>
      </c>
    </row>
    <row r="766" spans="1:6" x14ac:dyDescent="0.25">
      <c r="A766" s="221">
        <v>45985</v>
      </c>
      <c r="B766" s="222">
        <v>13</v>
      </c>
      <c r="C766" s="223" t="s">
        <v>27</v>
      </c>
      <c r="D766" s="224">
        <v>1.5</v>
      </c>
      <c r="E766" s="224">
        <v>6.2</v>
      </c>
      <c r="F766" s="42">
        <f>IFERROR(VLOOKUP(E766, Table2[],2, FALSE)*D766, "")</f>
        <v>69.75</v>
      </c>
    </row>
    <row r="767" spans="1:6" x14ac:dyDescent="0.25">
      <c r="A767" s="221">
        <v>45985</v>
      </c>
      <c r="B767" s="222">
        <v>3</v>
      </c>
      <c r="C767" s="223" t="s">
        <v>27</v>
      </c>
      <c r="D767" s="224">
        <v>3.4</v>
      </c>
      <c r="E767" s="224">
        <v>6</v>
      </c>
      <c r="F767" s="42">
        <f>IFERROR(VLOOKUP(E767, Table2[],2, FALSE)*D767, "")</f>
        <v>153</v>
      </c>
    </row>
    <row r="768" spans="1:6" x14ac:dyDescent="0.25">
      <c r="A768" s="221">
        <v>45985</v>
      </c>
      <c r="B768" s="222">
        <v>9</v>
      </c>
      <c r="C768" s="223" t="s">
        <v>27</v>
      </c>
      <c r="D768" s="224">
        <v>0.6</v>
      </c>
      <c r="E768" s="224">
        <v>8.4</v>
      </c>
      <c r="F768" s="42">
        <f>IFERROR(VLOOKUP(E768, Table2[],2, FALSE)*D768, "")</f>
        <v>37.799999999999997</v>
      </c>
    </row>
    <row r="769" spans="1:6" x14ac:dyDescent="0.25">
      <c r="A769" s="221">
        <v>45985</v>
      </c>
      <c r="B769" s="222">
        <v>16</v>
      </c>
      <c r="C769" s="223" t="s">
        <v>27</v>
      </c>
      <c r="D769" s="224">
        <v>2.7</v>
      </c>
      <c r="E769" s="224">
        <v>6</v>
      </c>
      <c r="F769" s="42">
        <f>IFERROR(VLOOKUP(E769, Table2[],2, FALSE)*D769, "")</f>
        <v>121.50000000000001</v>
      </c>
    </row>
    <row r="770" spans="1:6" x14ac:dyDescent="0.25">
      <c r="A770" s="221">
        <v>45985</v>
      </c>
      <c r="B770" s="222">
        <v>8</v>
      </c>
      <c r="C770" s="223" t="s">
        <v>27</v>
      </c>
      <c r="D770" s="224">
        <v>6.2</v>
      </c>
      <c r="E770" s="224">
        <v>6.4</v>
      </c>
      <c r="F770" s="42">
        <f>IFERROR(VLOOKUP(E770, Table2[],2, FALSE)*D770, "")</f>
        <v>297.60000000000002</v>
      </c>
    </row>
    <row r="771" spans="1:6" x14ac:dyDescent="0.25">
      <c r="A771" s="221">
        <v>45985</v>
      </c>
      <c r="B771" s="222">
        <v>17</v>
      </c>
      <c r="C771" s="223" t="s">
        <v>27</v>
      </c>
      <c r="D771" s="224">
        <v>8.3000000000000007</v>
      </c>
      <c r="E771" s="224">
        <v>5</v>
      </c>
      <c r="F771" s="42">
        <f>IFERROR(VLOOKUP(E771, Table2[],2, FALSE)*D771, "")</f>
        <v>311.25</v>
      </c>
    </row>
    <row r="772" spans="1:6" x14ac:dyDescent="0.25">
      <c r="A772" s="221">
        <v>45985</v>
      </c>
      <c r="B772" s="222">
        <v>10</v>
      </c>
      <c r="C772" s="223" t="s">
        <v>27</v>
      </c>
      <c r="D772" s="224">
        <v>4</v>
      </c>
      <c r="E772" s="224">
        <v>7</v>
      </c>
      <c r="F772" s="42">
        <f>IFERROR(VLOOKUP(E772, Table2[],2, FALSE)*D772, "")</f>
        <v>210</v>
      </c>
    </row>
    <row r="773" spans="1:6" x14ac:dyDescent="0.25">
      <c r="A773" s="221">
        <v>45984</v>
      </c>
      <c r="B773" s="222">
        <v>4</v>
      </c>
      <c r="C773" s="223" t="s">
        <v>27</v>
      </c>
      <c r="D773" s="224">
        <v>12.6</v>
      </c>
      <c r="E773" s="224">
        <v>6.2</v>
      </c>
      <c r="F773" s="42">
        <f>IFERROR(VLOOKUP(E773, Table2[],2, FALSE)*D773, "")</f>
        <v>585.9</v>
      </c>
    </row>
    <row r="774" spans="1:6" x14ac:dyDescent="0.25">
      <c r="A774" s="221">
        <v>45988</v>
      </c>
      <c r="B774" s="222">
        <v>11</v>
      </c>
      <c r="C774" s="223" t="s">
        <v>27</v>
      </c>
      <c r="D774" s="224">
        <v>2</v>
      </c>
      <c r="E774" s="224">
        <v>9.1</v>
      </c>
      <c r="F774" s="42">
        <f>IFERROR(VLOOKUP(E774, Table2[],2, FALSE)*D774, "")</f>
        <v>136.5</v>
      </c>
    </row>
    <row r="775" spans="1:6" x14ac:dyDescent="0.25">
      <c r="A775" s="221">
        <v>45986</v>
      </c>
      <c r="B775" s="222">
        <v>16</v>
      </c>
      <c r="C775" s="223" t="s">
        <v>27</v>
      </c>
      <c r="D775" s="224">
        <v>2.5</v>
      </c>
      <c r="E775" s="224">
        <v>6.6</v>
      </c>
      <c r="F775" s="42">
        <f>IFERROR(VLOOKUP(E775, Table2[],2, FALSE)*D775, "")</f>
        <v>123.75</v>
      </c>
    </row>
    <row r="776" spans="1:6" x14ac:dyDescent="0.25">
      <c r="A776" s="221">
        <v>45986</v>
      </c>
      <c r="B776" s="222">
        <v>6</v>
      </c>
      <c r="C776" s="223" t="s">
        <v>27</v>
      </c>
      <c r="D776" s="224">
        <v>6.2</v>
      </c>
      <c r="E776" s="224">
        <v>6</v>
      </c>
      <c r="F776" s="42">
        <f>IFERROR(VLOOKUP(E776, Table2[],2, FALSE)*D776, "")</f>
        <v>279</v>
      </c>
    </row>
    <row r="777" spans="1:6" x14ac:dyDescent="0.25">
      <c r="A777" s="221">
        <v>45986</v>
      </c>
      <c r="B777" s="222">
        <v>3</v>
      </c>
      <c r="C777" s="223" t="s">
        <v>27</v>
      </c>
      <c r="D777" s="224">
        <v>3.4</v>
      </c>
      <c r="E777" s="224">
        <v>6.3</v>
      </c>
      <c r="F777" s="42">
        <f>IFERROR(VLOOKUP(E777, Table2[],2, FALSE)*D777, "")</f>
        <v>160.65</v>
      </c>
    </row>
    <row r="778" spans="1:6" x14ac:dyDescent="0.25">
      <c r="A778" s="221">
        <v>45986</v>
      </c>
      <c r="B778" s="222">
        <v>9</v>
      </c>
      <c r="C778" s="223" t="s">
        <v>27</v>
      </c>
      <c r="D778" s="224">
        <v>0.6</v>
      </c>
      <c r="E778" s="224">
        <v>10</v>
      </c>
      <c r="F778" s="42">
        <f>IFERROR(VLOOKUP(E778, Table2[],2, FALSE)*D778, "")</f>
        <v>45</v>
      </c>
    </row>
    <row r="779" spans="1:6" x14ac:dyDescent="0.25">
      <c r="A779" s="221">
        <v>45986</v>
      </c>
      <c r="B779" s="222">
        <v>12</v>
      </c>
      <c r="C779" s="223" t="s">
        <v>27</v>
      </c>
      <c r="D779" s="224">
        <v>2</v>
      </c>
      <c r="E779" s="224">
        <v>6</v>
      </c>
      <c r="F779" s="42">
        <f>IFERROR(VLOOKUP(E779, Table2[],2, FALSE)*D779, "")</f>
        <v>90</v>
      </c>
    </row>
    <row r="780" spans="1:6" x14ac:dyDescent="0.25">
      <c r="A780" s="221">
        <v>45990</v>
      </c>
      <c r="B780" s="222">
        <v>5</v>
      </c>
      <c r="C780" s="223" t="s">
        <v>37</v>
      </c>
      <c r="D780" s="224">
        <v>1.7</v>
      </c>
      <c r="E780" s="224">
        <v>10</v>
      </c>
      <c r="F780" s="42">
        <f>IFERROR(VLOOKUP(E780, Table2[],2, FALSE)*D780, "")</f>
        <v>127.5</v>
      </c>
    </row>
    <row r="781" spans="1:6" x14ac:dyDescent="0.25">
      <c r="A781" s="221">
        <v>45986</v>
      </c>
      <c r="B781" s="222">
        <v>13</v>
      </c>
      <c r="C781" s="223" t="s">
        <v>27</v>
      </c>
      <c r="D781" s="224">
        <v>2.1</v>
      </c>
      <c r="E781" s="224">
        <v>8</v>
      </c>
      <c r="F781" s="42">
        <f>IFERROR(VLOOKUP(E781, Table2[],2, FALSE)*D781, "")</f>
        <v>126</v>
      </c>
    </row>
    <row r="782" spans="1:6" x14ac:dyDescent="0.25">
      <c r="A782" s="221">
        <v>45989</v>
      </c>
      <c r="B782" s="222">
        <v>14</v>
      </c>
      <c r="C782" s="223" t="s">
        <v>37</v>
      </c>
      <c r="D782" s="224">
        <v>0.8</v>
      </c>
      <c r="E782" s="224">
        <v>9.5</v>
      </c>
      <c r="F782" s="42">
        <f>IFERROR(VLOOKUP(E782, Table2[],2, FALSE)*D782, "")</f>
        <v>57</v>
      </c>
    </row>
    <row r="783" spans="1:6" x14ac:dyDescent="0.25">
      <c r="A783" s="221">
        <v>45989</v>
      </c>
      <c r="B783" s="222">
        <v>2</v>
      </c>
      <c r="C783" s="223" t="s">
        <v>37</v>
      </c>
      <c r="D783" s="224">
        <v>1.3</v>
      </c>
      <c r="E783" s="224">
        <v>10</v>
      </c>
      <c r="F783" s="42">
        <f>IFERROR(VLOOKUP(E783, Table2[],2, FALSE)*D783, "")</f>
        <v>97.5</v>
      </c>
    </row>
    <row r="784" spans="1:6" x14ac:dyDescent="0.25">
      <c r="A784" s="221">
        <v>45986</v>
      </c>
      <c r="B784" s="222">
        <v>17</v>
      </c>
      <c r="C784" s="223" t="s">
        <v>27</v>
      </c>
      <c r="D784" s="224">
        <v>7.5</v>
      </c>
      <c r="E784" s="224">
        <v>5.5</v>
      </c>
      <c r="F784" s="42">
        <f>IFERROR(VLOOKUP(E784, Table2[],2, FALSE)*D784, "")</f>
        <v>309.375</v>
      </c>
    </row>
    <row r="785" spans="1:6" x14ac:dyDescent="0.25">
      <c r="A785" s="221">
        <v>45986</v>
      </c>
      <c r="B785" s="222">
        <v>8</v>
      </c>
      <c r="C785" s="223" t="s">
        <v>27</v>
      </c>
      <c r="D785" s="224">
        <v>6</v>
      </c>
      <c r="E785" s="224">
        <v>6.2</v>
      </c>
      <c r="F785" s="42">
        <f>IFERROR(VLOOKUP(E785, Table2[],2, FALSE)*D785, "")</f>
        <v>279</v>
      </c>
    </row>
    <row r="786" spans="1:6" x14ac:dyDescent="0.25">
      <c r="A786" s="221">
        <v>45985</v>
      </c>
      <c r="B786" s="222">
        <v>4</v>
      </c>
      <c r="C786" s="223" t="s">
        <v>27</v>
      </c>
      <c r="D786" s="224">
        <v>13.7</v>
      </c>
      <c r="E786" s="224">
        <v>6.2</v>
      </c>
      <c r="F786" s="42">
        <f>IFERROR(VLOOKUP(E786, Table2[],2, FALSE)*D786, "")</f>
        <v>637.04999999999995</v>
      </c>
    </row>
    <row r="787" spans="1:6" x14ac:dyDescent="0.25">
      <c r="A787" s="221">
        <v>45989</v>
      </c>
      <c r="B787" s="222">
        <v>15</v>
      </c>
      <c r="C787" s="223" t="s">
        <v>37</v>
      </c>
      <c r="D787" s="224">
        <v>10.199999999999999</v>
      </c>
      <c r="E787" s="224">
        <v>7.4</v>
      </c>
      <c r="F787" s="42">
        <f>IFERROR(VLOOKUP(E787, Table2[],2, FALSE)*D787, "")</f>
        <v>566.09999999999991</v>
      </c>
    </row>
    <row r="788" spans="1:6" x14ac:dyDescent="0.25">
      <c r="A788" s="221">
        <v>45986</v>
      </c>
      <c r="B788" s="222">
        <v>1</v>
      </c>
      <c r="C788" s="223" t="s">
        <v>27</v>
      </c>
      <c r="D788" s="224">
        <v>3.1</v>
      </c>
      <c r="E788" s="224">
        <v>7</v>
      </c>
      <c r="F788" s="42">
        <f>IFERROR(VLOOKUP(E788, Table2[],2, FALSE)*D788, "")</f>
        <v>162.75</v>
      </c>
    </row>
    <row r="789" spans="1:6" x14ac:dyDescent="0.25">
      <c r="A789" s="221">
        <v>45989</v>
      </c>
      <c r="B789" s="222">
        <v>11</v>
      </c>
      <c r="C789" s="223" t="s">
        <v>37</v>
      </c>
      <c r="D789" s="224">
        <v>1.7</v>
      </c>
      <c r="E789" s="224">
        <v>9.4</v>
      </c>
      <c r="F789" s="42">
        <f>IFERROR(VLOOKUP(E789, Table2[],2, FALSE)*D789, "")</f>
        <v>119.85</v>
      </c>
    </row>
    <row r="790" spans="1:6" x14ac:dyDescent="0.25">
      <c r="A790" s="221">
        <v>45986</v>
      </c>
      <c r="B790" s="222">
        <v>10</v>
      </c>
      <c r="C790" s="223" t="s">
        <v>27</v>
      </c>
      <c r="D790" s="224">
        <v>4.4000000000000004</v>
      </c>
      <c r="E790" s="224">
        <v>7.8</v>
      </c>
      <c r="F790" s="42">
        <f>IFERROR(VLOOKUP(E790, Table2[],2, FALSE)*D790, "")</f>
        <v>257.40000000000003</v>
      </c>
    </row>
    <row r="791" spans="1:6" x14ac:dyDescent="0.25">
      <c r="A791" s="221">
        <v>45987</v>
      </c>
      <c r="B791" s="222">
        <v>6</v>
      </c>
      <c r="C791" s="223" t="s">
        <v>27</v>
      </c>
      <c r="D791" s="224">
        <v>6.6</v>
      </c>
      <c r="E791" s="224">
        <v>6</v>
      </c>
      <c r="F791" s="42">
        <f>IFERROR(VLOOKUP(E791, Table2[],2, FALSE)*D791, "")</f>
        <v>297</v>
      </c>
    </row>
    <row r="792" spans="1:6" x14ac:dyDescent="0.25">
      <c r="A792" s="221">
        <v>45987</v>
      </c>
      <c r="B792" s="222">
        <v>1</v>
      </c>
      <c r="C792" s="223" t="s">
        <v>27</v>
      </c>
      <c r="D792" s="224">
        <v>3.2</v>
      </c>
      <c r="E792" s="224">
        <v>6.3</v>
      </c>
      <c r="F792" s="42">
        <f>IFERROR(VLOOKUP(E792, Table2[],2, FALSE)*D792, "")</f>
        <v>151.20000000000002</v>
      </c>
    </row>
    <row r="793" spans="1:6" x14ac:dyDescent="0.25">
      <c r="A793" s="221">
        <v>45987</v>
      </c>
      <c r="B793" s="222">
        <v>13</v>
      </c>
      <c r="C793" s="223" t="s">
        <v>27</v>
      </c>
      <c r="D793" s="224">
        <v>2.2999999999999998</v>
      </c>
      <c r="E793" s="224">
        <v>6.8</v>
      </c>
      <c r="F793" s="42">
        <f>IFERROR(VLOOKUP(E793, Table2[],2, FALSE)*D793, "")</f>
        <v>117.3</v>
      </c>
    </row>
    <row r="794" spans="1:6" x14ac:dyDescent="0.25">
      <c r="A794" s="221">
        <v>45987</v>
      </c>
      <c r="B794" s="222">
        <v>12</v>
      </c>
      <c r="C794" s="223" t="s">
        <v>27</v>
      </c>
      <c r="D794" s="224">
        <v>3.1</v>
      </c>
      <c r="E794" s="224">
        <v>6.4</v>
      </c>
      <c r="F794" s="42">
        <f>IFERROR(VLOOKUP(E794, Table2[],2, FALSE)*D794, "")</f>
        <v>148.80000000000001</v>
      </c>
    </row>
    <row r="795" spans="1:6" x14ac:dyDescent="0.25">
      <c r="A795" s="221">
        <v>45987</v>
      </c>
      <c r="B795" s="222">
        <v>3</v>
      </c>
      <c r="C795" s="223" t="s">
        <v>27</v>
      </c>
      <c r="D795" s="224">
        <v>4.0999999999999996</v>
      </c>
      <c r="E795" s="224">
        <v>6.8</v>
      </c>
      <c r="F795" s="42">
        <f>IFERROR(VLOOKUP(E795, Table2[],2, FALSE)*D795, "")</f>
        <v>209.1</v>
      </c>
    </row>
    <row r="796" spans="1:6" x14ac:dyDescent="0.25">
      <c r="A796" s="221">
        <v>45987</v>
      </c>
      <c r="B796" s="222">
        <v>9</v>
      </c>
      <c r="C796" s="223" t="s">
        <v>27</v>
      </c>
      <c r="D796" s="224">
        <v>0.7</v>
      </c>
      <c r="E796" s="224">
        <v>10</v>
      </c>
      <c r="F796" s="42">
        <f>IFERROR(VLOOKUP(E796, Table2[],2, FALSE)*D796, "")</f>
        <v>52.5</v>
      </c>
    </row>
    <row r="797" spans="1:6" x14ac:dyDescent="0.25">
      <c r="A797" s="221">
        <v>45987</v>
      </c>
      <c r="B797" s="222">
        <v>16</v>
      </c>
      <c r="C797" s="223" t="s">
        <v>27</v>
      </c>
      <c r="D797" s="224">
        <v>2.2000000000000002</v>
      </c>
      <c r="E797" s="224">
        <v>6.7</v>
      </c>
      <c r="F797" s="42">
        <f>IFERROR(VLOOKUP(E797, Table2[],2, FALSE)*D797, "")</f>
        <v>110.55000000000001</v>
      </c>
    </row>
    <row r="798" spans="1:6" x14ac:dyDescent="0.25">
      <c r="A798" s="221">
        <v>45987</v>
      </c>
      <c r="B798" s="222">
        <v>8</v>
      </c>
      <c r="C798" s="223" t="s">
        <v>27</v>
      </c>
      <c r="D798" s="224">
        <v>6</v>
      </c>
      <c r="E798" s="224">
        <v>6.2</v>
      </c>
      <c r="F798" s="42">
        <f>IFERROR(VLOOKUP(E798, Table2[],2, FALSE)*D798, "")</f>
        <v>279</v>
      </c>
    </row>
    <row r="799" spans="1:6" x14ac:dyDescent="0.25">
      <c r="A799" s="221">
        <v>45987</v>
      </c>
      <c r="B799" s="222">
        <v>17</v>
      </c>
      <c r="C799" s="223" t="s">
        <v>27</v>
      </c>
      <c r="D799" s="224">
        <v>7.7</v>
      </c>
      <c r="E799" s="224">
        <v>5.5</v>
      </c>
      <c r="F799" s="42">
        <f>IFERROR(VLOOKUP(E799, Table2[],2, FALSE)*D799, "")</f>
        <v>317.625</v>
      </c>
    </row>
    <row r="800" spans="1:6" x14ac:dyDescent="0.25">
      <c r="A800" s="221">
        <v>45987</v>
      </c>
      <c r="B800" s="222">
        <v>10</v>
      </c>
      <c r="C800" s="223" t="s">
        <v>27</v>
      </c>
      <c r="D800" s="224">
        <v>4.3</v>
      </c>
      <c r="E800" s="224">
        <v>7.5</v>
      </c>
      <c r="F800" s="42">
        <f>IFERROR(VLOOKUP(E800, Table2[],2, FALSE)*D800, "")</f>
        <v>241.875</v>
      </c>
    </row>
    <row r="801" spans="1:6" x14ac:dyDescent="0.25">
      <c r="A801" s="221">
        <v>45987</v>
      </c>
      <c r="B801" s="222">
        <v>4</v>
      </c>
      <c r="C801" s="223" t="s">
        <v>27</v>
      </c>
      <c r="D801" s="224">
        <v>14.1</v>
      </c>
      <c r="E801" s="224">
        <v>6.1</v>
      </c>
      <c r="F801" s="42">
        <f>IFERROR(VLOOKUP(E801, Table2[],2, FALSE)*D801, "")</f>
        <v>645.07499999999993</v>
      </c>
    </row>
    <row r="802" spans="1:6" x14ac:dyDescent="0.25">
      <c r="A802" s="221">
        <v>45989</v>
      </c>
      <c r="B802" s="222">
        <v>11</v>
      </c>
      <c r="C802" s="223" t="s">
        <v>27</v>
      </c>
      <c r="D802" s="224">
        <v>2</v>
      </c>
      <c r="E802" s="224">
        <v>9.6</v>
      </c>
      <c r="F802" s="42">
        <f>IFERROR(VLOOKUP(E802, Table2[],2, FALSE)*D802, "")</f>
        <v>144</v>
      </c>
    </row>
    <row r="803" spans="1:6" x14ac:dyDescent="0.25">
      <c r="A803" s="155">
        <v>45969</v>
      </c>
      <c r="B803" s="156">
        <v>7</v>
      </c>
      <c r="C803" s="129" t="s">
        <v>27</v>
      </c>
      <c r="D803" s="130">
        <v>1.1000000000000001</v>
      </c>
      <c r="E803" s="130">
        <v>6</v>
      </c>
      <c r="F803" s="42">
        <f>IFERROR(VLOOKUP(E803, Table2[],2, FALSE)*D803, "")</f>
        <v>49.500000000000007</v>
      </c>
    </row>
    <row r="804" spans="1:6" x14ac:dyDescent="0.25">
      <c r="A804" s="221">
        <v>45988</v>
      </c>
      <c r="B804" s="222">
        <v>8</v>
      </c>
      <c r="C804" s="223" t="s">
        <v>27</v>
      </c>
      <c r="D804" s="224">
        <v>6.4</v>
      </c>
      <c r="E804" s="224">
        <v>6</v>
      </c>
      <c r="F804" s="42">
        <f>IFERROR(VLOOKUP(E804, Table2[],2, FALSE)*D804, "")</f>
        <v>288</v>
      </c>
    </row>
    <row r="805" spans="1:6" x14ac:dyDescent="0.25">
      <c r="A805" s="221">
        <v>45991</v>
      </c>
      <c r="B805" s="222">
        <v>5</v>
      </c>
      <c r="C805" s="223" t="s">
        <v>37</v>
      </c>
      <c r="D805" s="224">
        <v>1.9</v>
      </c>
      <c r="E805" s="224">
        <v>10</v>
      </c>
      <c r="F805" s="42">
        <f>IFERROR(VLOOKUP(E805, Table2[],2, FALSE)*D805, "")</f>
        <v>142.5</v>
      </c>
    </row>
    <row r="806" spans="1:6" x14ac:dyDescent="0.25">
      <c r="A806" s="221">
        <v>45988</v>
      </c>
      <c r="B806" s="222">
        <v>6</v>
      </c>
      <c r="C806" s="223" t="s">
        <v>27</v>
      </c>
      <c r="D806" s="224">
        <v>8.3000000000000007</v>
      </c>
      <c r="E806" s="224">
        <v>6</v>
      </c>
      <c r="F806" s="42">
        <f>IFERROR(VLOOKUP(E806, Table2[],2, FALSE)*D806, "")</f>
        <v>373.50000000000006</v>
      </c>
    </row>
    <row r="807" spans="1:6" x14ac:dyDescent="0.25">
      <c r="A807" s="221">
        <v>45988</v>
      </c>
      <c r="B807" s="222">
        <v>16</v>
      </c>
      <c r="C807" s="223" t="s">
        <v>27</v>
      </c>
      <c r="D807" s="224">
        <v>2.1</v>
      </c>
      <c r="E807" s="224">
        <v>6.7</v>
      </c>
      <c r="F807" s="42">
        <f>IFERROR(VLOOKUP(E807, Table2[],2, FALSE)*D807, "")</f>
        <v>105.52500000000001</v>
      </c>
    </row>
    <row r="808" spans="1:6" x14ac:dyDescent="0.25">
      <c r="A808" s="221">
        <v>45988</v>
      </c>
      <c r="B808" s="222">
        <v>3</v>
      </c>
      <c r="C808" s="223" t="s">
        <v>27</v>
      </c>
      <c r="D808" s="224">
        <v>3.7</v>
      </c>
      <c r="E808" s="224">
        <v>7</v>
      </c>
      <c r="F808" s="42">
        <f>IFERROR(VLOOKUP(E808, Table2[],2, FALSE)*D808, "")</f>
        <v>194.25</v>
      </c>
    </row>
    <row r="809" spans="1:6" x14ac:dyDescent="0.25">
      <c r="A809" s="221">
        <v>45988</v>
      </c>
      <c r="B809" s="222">
        <v>13</v>
      </c>
      <c r="C809" s="223" t="s">
        <v>27</v>
      </c>
      <c r="D809" s="224">
        <v>2.6</v>
      </c>
      <c r="E809" s="224">
        <v>8.6999999999999993</v>
      </c>
      <c r="F809" s="42">
        <f>IFERROR(VLOOKUP(E809, Table2[],2, FALSE)*D809, "")</f>
        <v>169.65</v>
      </c>
    </row>
    <row r="810" spans="1:6" x14ac:dyDescent="0.25">
      <c r="A810" s="221">
        <v>45990</v>
      </c>
      <c r="B810" s="222">
        <v>14</v>
      </c>
      <c r="C810" s="223" t="s">
        <v>37</v>
      </c>
      <c r="D810" s="224">
        <v>0.9</v>
      </c>
      <c r="E810" s="224">
        <v>9.1999999999999993</v>
      </c>
      <c r="F810" s="42">
        <f>IFERROR(VLOOKUP(E810, Table2[],2, FALSE)*D810, "")</f>
        <v>62.1</v>
      </c>
    </row>
    <row r="811" spans="1:6" x14ac:dyDescent="0.25">
      <c r="A811" s="221">
        <v>45988</v>
      </c>
      <c r="B811" s="222">
        <v>9</v>
      </c>
      <c r="C811" s="223" t="s">
        <v>27</v>
      </c>
      <c r="D811" s="224">
        <v>0.7</v>
      </c>
      <c r="E811" s="224">
        <v>9</v>
      </c>
      <c r="F811" s="42">
        <f>IFERROR(VLOOKUP(E811, Table2[],2, FALSE)*D811, "")</f>
        <v>47.25</v>
      </c>
    </row>
    <row r="812" spans="1:6" x14ac:dyDescent="0.25">
      <c r="A812" s="221">
        <v>45988</v>
      </c>
      <c r="B812" s="222">
        <v>4</v>
      </c>
      <c r="C812" s="223" t="s">
        <v>27</v>
      </c>
      <c r="D812" s="224">
        <v>13.9</v>
      </c>
      <c r="E812" s="224">
        <v>6.4</v>
      </c>
      <c r="F812" s="42">
        <f>IFERROR(VLOOKUP(E812, Table2[],2, FALSE)*D812, "")</f>
        <v>667.2</v>
      </c>
    </row>
    <row r="813" spans="1:6" x14ac:dyDescent="0.25">
      <c r="A813" s="221">
        <v>45990</v>
      </c>
      <c r="B813" s="222">
        <v>2</v>
      </c>
      <c r="C813" s="223" t="s">
        <v>37</v>
      </c>
      <c r="D813" s="224">
        <v>1.3</v>
      </c>
      <c r="E813" s="224">
        <v>9.5</v>
      </c>
      <c r="F813" s="42">
        <f>IFERROR(VLOOKUP(E813, Table2[],2, FALSE)*D813, "")</f>
        <v>92.625</v>
      </c>
    </row>
    <row r="814" spans="1:6" x14ac:dyDescent="0.25">
      <c r="A814" s="221">
        <v>45988</v>
      </c>
      <c r="B814" s="222">
        <v>17</v>
      </c>
      <c r="C814" s="223" t="s">
        <v>27</v>
      </c>
      <c r="D814" s="224">
        <v>8.4</v>
      </c>
      <c r="E814" s="224">
        <v>5.5</v>
      </c>
      <c r="F814" s="42">
        <f>IFERROR(VLOOKUP(E814, Table2[],2, FALSE)*D814, "")</f>
        <v>346.5</v>
      </c>
    </row>
    <row r="815" spans="1:6" x14ac:dyDescent="0.25">
      <c r="A815" s="221">
        <v>45988</v>
      </c>
      <c r="B815" s="222">
        <v>12</v>
      </c>
      <c r="C815" s="223" t="s">
        <v>27</v>
      </c>
      <c r="D815" s="224">
        <v>3.2</v>
      </c>
      <c r="E815" s="224">
        <v>6.5</v>
      </c>
      <c r="F815" s="42">
        <f>IFERROR(VLOOKUP(E815, Table2[],2, FALSE)*D815, "")</f>
        <v>156</v>
      </c>
    </row>
    <row r="816" spans="1:6" x14ac:dyDescent="0.25">
      <c r="A816" s="221">
        <v>45988</v>
      </c>
      <c r="B816" s="222">
        <v>1</v>
      </c>
      <c r="C816" s="223" t="s">
        <v>27</v>
      </c>
      <c r="D816" s="224">
        <v>2.8</v>
      </c>
      <c r="E816" s="224">
        <v>6.5</v>
      </c>
      <c r="F816" s="42">
        <f>IFERROR(VLOOKUP(E816, Table2[],2, FALSE)*D816, "")</f>
        <v>136.5</v>
      </c>
    </row>
    <row r="817" spans="1:6" x14ac:dyDescent="0.25">
      <c r="A817" s="221">
        <v>45990</v>
      </c>
      <c r="B817" s="222">
        <v>15</v>
      </c>
      <c r="C817" s="223" t="s">
        <v>37</v>
      </c>
      <c r="D817" s="224">
        <v>8.6999999999999993</v>
      </c>
      <c r="E817" s="224">
        <v>7</v>
      </c>
      <c r="F817" s="42">
        <f>IFERROR(VLOOKUP(E817, Table2[],2, FALSE)*D817, "")</f>
        <v>456.74999999999994</v>
      </c>
    </row>
    <row r="818" spans="1:6" x14ac:dyDescent="0.25">
      <c r="A818" s="221">
        <v>45988</v>
      </c>
      <c r="B818" s="222">
        <v>10</v>
      </c>
      <c r="C818" s="223" t="s">
        <v>27</v>
      </c>
      <c r="D818" s="224">
        <v>4.5999999999999996</v>
      </c>
      <c r="E818" s="224">
        <v>7.5</v>
      </c>
      <c r="F818" s="42">
        <f>IFERROR(VLOOKUP(E818, Table2[],2, FALSE)*D818, "")</f>
        <v>258.75</v>
      </c>
    </row>
    <row r="819" spans="1:6" x14ac:dyDescent="0.25">
      <c r="A819" s="221">
        <v>45990</v>
      </c>
      <c r="B819" s="222">
        <v>11</v>
      </c>
      <c r="C819" s="223" t="s">
        <v>37</v>
      </c>
      <c r="D819" s="224">
        <v>1.7</v>
      </c>
      <c r="E819" s="224">
        <v>9.6</v>
      </c>
      <c r="F819" s="42">
        <f>IFERROR(VLOOKUP(E819, Table2[],2, FALSE)*D819, "")</f>
        <v>122.39999999999999</v>
      </c>
    </row>
    <row r="820" spans="1:6" x14ac:dyDescent="0.25">
      <c r="A820" s="221">
        <v>45989</v>
      </c>
      <c r="B820" s="222">
        <v>12</v>
      </c>
      <c r="C820" s="223" t="s">
        <v>27</v>
      </c>
      <c r="D820" s="224">
        <v>2.7</v>
      </c>
      <c r="E820" s="224">
        <v>6.2</v>
      </c>
      <c r="F820" s="42">
        <f>IFERROR(VLOOKUP(E820, Table2[],2, FALSE)*D820, "")</f>
        <v>125.55000000000001</v>
      </c>
    </row>
    <row r="821" spans="1:6" x14ac:dyDescent="0.25">
      <c r="A821" s="221">
        <v>45989</v>
      </c>
      <c r="B821" s="222">
        <v>6</v>
      </c>
      <c r="C821" s="223" t="s">
        <v>27</v>
      </c>
      <c r="D821" s="224">
        <v>6.6</v>
      </c>
      <c r="E821" s="224">
        <v>6.2</v>
      </c>
      <c r="F821" s="42">
        <f>IFERROR(VLOOKUP(E821, Table2[],2, FALSE)*D821, "")</f>
        <v>306.89999999999998</v>
      </c>
    </row>
    <row r="822" spans="1:6" x14ac:dyDescent="0.25">
      <c r="A822" s="221">
        <v>45989</v>
      </c>
      <c r="B822" s="222">
        <v>8</v>
      </c>
      <c r="C822" s="223" t="s">
        <v>27</v>
      </c>
      <c r="D822" s="224">
        <v>6.4</v>
      </c>
      <c r="E822" s="224">
        <v>6</v>
      </c>
      <c r="F822" s="42">
        <f>IFERROR(VLOOKUP(E822, Table2[],2, FALSE)*D822, "")</f>
        <v>288</v>
      </c>
    </row>
    <row r="823" spans="1:6" x14ac:dyDescent="0.25">
      <c r="A823" s="221">
        <v>45989</v>
      </c>
      <c r="B823" s="222">
        <v>3</v>
      </c>
      <c r="C823" s="223" t="s">
        <v>27</v>
      </c>
      <c r="D823" s="224">
        <v>3.6</v>
      </c>
      <c r="E823" s="224">
        <v>6.5</v>
      </c>
      <c r="F823" s="42">
        <f>IFERROR(VLOOKUP(E823, Table2[],2, FALSE)*D823, "")</f>
        <v>175.5</v>
      </c>
    </row>
    <row r="824" spans="1:6" x14ac:dyDescent="0.25">
      <c r="A824" s="221">
        <v>45989</v>
      </c>
      <c r="B824" s="222">
        <v>1</v>
      </c>
      <c r="C824" s="223" t="s">
        <v>27</v>
      </c>
      <c r="D824" s="224">
        <v>3</v>
      </c>
      <c r="E824" s="224">
        <v>6.5</v>
      </c>
      <c r="F824" s="42">
        <f>IFERROR(VLOOKUP(E824, Table2[],2, FALSE)*D824, "")</f>
        <v>146.25</v>
      </c>
    </row>
    <row r="825" spans="1:6" x14ac:dyDescent="0.25">
      <c r="A825" s="221">
        <v>45989</v>
      </c>
      <c r="B825" s="222">
        <v>13</v>
      </c>
      <c r="C825" s="223" t="s">
        <v>27</v>
      </c>
      <c r="D825" s="224">
        <v>2.1</v>
      </c>
      <c r="E825" s="224">
        <v>7.6</v>
      </c>
      <c r="F825" s="42">
        <f>IFERROR(VLOOKUP(E825, Table2[],2, FALSE)*D825, "")</f>
        <v>119.7</v>
      </c>
    </row>
    <row r="826" spans="1:6" x14ac:dyDescent="0.25">
      <c r="A826" s="221">
        <v>45989</v>
      </c>
      <c r="B826" s="222">
        <v>16</v>
      </c>
      <c r="C826" s="223" t="s">
        <v>27</v>
      </c>
      <c r="D826" s="224">
        <v>2.2000000000000002</v>
      </c>
      <c r="E826" s="224">
        <v>6.4</v>
      </c>
      <c r="F826" s="42">
        <f>IFERROR(VLOOKUP(E826, Table2[],2, FALSE)*D826, "")</f>
        <v>105.60000000000001</v>
      </c>
    </row>
    <row r="827" spans="1:6" x14ac:dyDescent="0.25">
      <c r="A827" s="221">
        <v>45989</v>
      </c>
      <c r="B827" s="222">
        <v>9</v>
      </c>
      <c r="C827" s="223" t="s">
        <v>27</v>
      </c>
      <c r="D827" s="224">
        <v>0.7</v>
      </c>
      <c r="E827" s="224">
        <v>9</v>
      </c>
      <c r="F827" s="42">
        <f>IFERROR(VLOOKUP(E827, Table2[],2, FALSE)*D827, "")</f>
        <v>47.25</v>
      </c>
    </row>
    <row r="828" spans="1:6" x14ac:dyDescent="0.25">
      <c r="A828" s="221">
        <v>45989</v>
      </c>
      <c r="B828" s="222">
        <v>17</v>
      </c>
      <c r="C828" s="223" t="s">
        <v>27</v>
      </c>
      <c r="D828" s="224">
        <v>6.8</v>
      </c>
      <c r="E828" s="224">
        <v>6.2</v>
      </c>
      <c r="F828" s="42">
        <f>IFERROR(VLOOKUP(E828, Table2[],2, FALSE)*D828, "")</f>
        <v>316.2</v>
      </c>
    </row>
    <row r="829" spans="1:6" x14ac:dyDescent="0.25">
      <c r="A829" s="221">
        <v>45989</v>
      </c>
      <c r="B829" s="222">
        <v>10</v>
      </c>
      <c r="C829" s="223" t="s">
        <v>27</v>
      </c>
      <c r="D829" s="224">
        <v>4.0999999999999996</v>
      </c>
      <c r="E829" s="224">
        <v>7</v>
      </c>
      <c r="F829" s="42">
        <f>IFERROR(VLOOKUP(E829, Table2[],2, FALSE)*D829, "")</f>
        <v>215.24999999999997</v>
      </c>
    </row>
    <row r="830" spans="1:6" x14ac:dyDescent="0.25">
      <c r="A830" s="221">
        <v>45989</v>
      </c>
      <c r="B830" s="222">
        <v>4</v>
      </c>
      <c r="C830" s="223" t="s">
        <v>27</v>
      </c>
      <c r="D830" s="224">
        <v>14.8</v>
      </c>
      <c r="E830" s="224">
        <v>6.1</v>
      </c>
      <c r="F830" s="42">
        <f>IFERROR(VLOOKUP(E830, Table2[],2, FALSE)*D830, "")</f>
        <v>677.1</v>
      </c>
    </row>
    <row r="831" spans="1:6" x14ac:dyDescent="0.25">
      <c r="A831" s="221">
        <v>45990</v>
      </c>
      <c r="B831" s="222">
        <v>11</v>
      </c>
      <c r="C831" s="223" t="s">
        <v>27</v>
      </c>
      <c r="D831" s="224">
        <v>2</v>
      </c>
      <c r="E831" s="224">
        <v>8.9</v>
      </c>
      <c r="F831" s="42">
        <f>IFERROR(VLOOKUP(E831, Table2[],2, FALSE)*D831, "")</f>
        <v>133.5</v>
      </c>
    </row>
    <row r="832" spans="1:6" x14ac:dyDescent="0.25">
      <c r="A832" s="221">
        <v>45990</v>
      </c>
      <c r="B832" s="222">
        <v>16</v>
      </c>
      <c r="C832" s="223" t="s">
        <v>27</v>
      </c>
      <c r="D832" s="224">
        <v>2.5</v>
      </c>
      <c r="E832" s="224">
        <v>6.4</v>
      </c>
      <c r="F832" s="42">
        <f>IFERROR(VLOOKUP(E832, Table2[],2, FALSE)*D832, "")</f>
        <v>120</v>
      </c>
    </row>
    <row r="833" spans="1:6" x14ac:dyDescent="0.25">
      <c r="A833" s="221">
        <v>45991</v>
      </c>
      <c r="B833" s="222">
        <v>2</v>
      </c>
      <c r="C833" s="223" t="s">
        <v>37</v>
      </c>
      <c r="D833" s="224">
        <v>1.2</v>
      </c>
      <c r="E833" s="224">
        <v>9</v>
      </c>
      <c r="F833" s="42">
        <f>IFERROR(VLOOKUP(E833, Table2[],2, FALSE)*D833, "")</f>
        <v>81</v>
      </c>
    </row>
    <row r="834" spans="1:6" x14ac:dyDescent="0.25">
      <c r="A834" s="221">
        <v>45990</v>
      </c>
      <c r="B834" s="222">
        <v>6</v>
      </c>
      <c r="C834" s="223" t="s">
        <v>27</v>
      </c>
      <c r="D834" s="224">
        <v>7.4</v>
      </c>
      <c r="E834" s="224">
        <v>6.2</v>
      </c>
      <c r="F834" s="42">
        <f>IFERROR(VLOOKUP(E834, Table2[],2, FALSE)*D834, "")</f>
        <v>344.1</v>
      </c>
    </row>
    <row r="835" spans="1:6" x14ac:dyDescent="0.25">
      <c r="A835" s="221">
        <v>45990</v>
      </c>
      <c r="B835" s="222">
        <v>3</v>
      </c>
      <c r="C835" s="223" t="s">
        <v>27</v>
      </c>
      <c r="D835" s="224">
        <v>3.9</v>
      </c>
      <c r="E835" s="224">
        <v>7</v>
      </c>
      <c r="F835" s="42">
        <f>IFERROR(VLOOKUP(E835, Table2[],2, FALSE)*D835, "")</f>
        <v>204.75</v>
      </c>
    </row>
    <row r="836" spans="1:6" x14ac:dyDescent="0.25">
      <c r="A836" s="221">
        <v>45990</v>
      </c>
      <c r="B836" s="222">
        <v>13</v>
      </c>
      <c r="C836" s="223" t="s">
        <v>27</v>
      </c>
      <c r="D836" s="224">
        <v>1.5</v>
      </c>
      <c r="E836" s="224">
        <v>7.8</v>
      </c>
      <c r="F836" s="42">
        <f>IFERROR(VLOOKUP(E836, Table2[],2, FALSE)*D836, "")</f>
        <v>87.75</v>
      </c>
    </row>
    <row r="837" spans="1:6" x14ac:dyDescent="0.25">
      <c r="A837" s="221">
        <v>45991</v>
      </c>
      <c r="B837" s="222">
        <v>14</v>
      </c>
      <c r="C837" s="223" t="s">
        <v>37</v>
      </c>
      <c r="D837" s="224">
        <v>1</v>
      </c>
      <c r="E837" s="224">
        <v>8.5</v>
      </c>
      <c r="F837" s="42">
        <f>IFERROR(VLOOKUP(E837, Table2[],2, FALSE)*D837, "")</f>
        <v>63.75</v>
      </c>
    </row>
    <row r="838" spans="1:6" x14ac:dyDescent="0.25">
      <c r="A838" s="221">
        <v>45990</v>
      </c>
      <c r="B838" s="222">
        <v>12</v>
      </c>
      <c r="C838" s="223" t="s">
        <v>27</v>
      </c>
      <c r="D838" s="224">
        <v>2.9</v>
      </c>
      <c r="E838" s="224">
        <v>6.2</v>
      </c>
      <c r="F838" s="42">
        <f>IFERROR(VLOOKUP(E838, Table2[],2, FALSE)*D838, "")</f>
        <v>134.85</v>
      </c>
    </row>
    <row r="839" spans="1:6" x14ac:dyDescent="0.25">
      <c r="A839" s="155">
        <v>45963</v>
      </c>
      <c r="B839" s="156">
        <v>5</v>
      </c>
      <c r="C839" s="129" t="s">
        <v>27</v>
      </c>
      <c r="D839" s="130">
        <v>1.8</v>
      </c>
      <c r="E839" s="130">
        <v>10</v>
      </c>
      <c r="F839" s="42">
        <f>IFERROR(VLOOKUP(E839, Table2[],2, FALSE)*D839, "")</f>
        <v>135</v>
      </c>
    </row>
    <row r="840" spans="1:6" x14ac:dyDescent="0.25">
      <c r="A840" s="221">
        <v>45990</v>
      </c>
      <c r="B840" s="222">
        <v>8</v>
      </c>
      <c r="C840" s="223" t="s">
        <v>27</v>
      </c>
      <c r="D840" s="224">
        <v>5.3</v>
      </c>
      <c r="E840" s="224">
        <v>6.5</v>
      </c>
      <c r="F840" s="42">
        <f>IFERROR(VLOOKUP(E840, Table2[],2, FALSE)*D840, "")</f>
        <v>258.375</v>
      </c>
    </row>
    <row r="841" spans="1:6" x14ac:dyDescent="0.25">
      <c r="A841" s="221">
        <v>45990</v>
      </c>
      <c r="B841" s="222">
        <v>1</v>
      </c>
      <c r="C841" s="223" t="s">
        <v>27</v>
      </c>
      <c r="D841" s="224">
        <v>2.9</v>
      </c>
      <c r="E841" s="224">
        <v>7</v>
      </c>
      <c r="F841" s="42">
        <f>IFERROR(VLOOKUP(E841, Table2[],2, FALSE)*D841, "")</f>
        <v>152.25</v>
      </c>
    </row>
    <row r="842" spans="1:6" x14ac:dyDescent="0.25">
      <c r="A842" s="155">
        <v>45970</v>
      </c>
      <c r="B842" s="156">
        <v>7</v>
      </c>
      <c r="C842" s="129" t="s">
        <v>27</v>
      </c>
      <c r="D842" s="130">
        <v>1.1000000000000001</v>
      </c>
      <c r="E842" s="130">
        <v>6.1</v>
      </c>
      <c r="F842" s="42">
        <f>IFERROR(VLOOKUP(E842, Table2[],2, FALSE)*D842, "")</f>
        <v>50.325000000000003</v>
      </c>
    </row>
    <row r="843" spans="1:6" x14ac:dyDescent="0.25">
      <c r="A843" s="221">
        <v>45990</v>
      </c>
      <c r="B843" s="222">
        <v>9</v>
      </c>
      <c r="C843" s="223" t="s">
        <v>27</v>
      </c>
      <c r="D843" s="224">
        <v>0.9</v>
      </c>
      <c r="E843" s="224">
        <v>9</v>
      </c>
      <c r="F843" s="42">
        <f>IFERROR(VLOOKUP(E843, Table2[],2, FALSE)*D843, "")</f>
        <v>60.75</v>
      </c>
    </row>
    <row r="844" spans="1:6" x14ac:dyDescent="0.25">
      <c r="A844" s="221">
        <v>45991</v>
      </c>
      <c r="B844" s="222">
        <v>15</v>
      </c>
      <c r="C844" s="223" t="s">
        <v>37</v>
      </c>
      <c r="D844" s="224">
        <v>8.6999999999999993</v>
      </c>
      <c r="E844" s="224">
        <v>6.5</v>
      </c>
      <c r="F844" s="42">
        <f>IFERROR(VLOOKUP(E844, Table2[],2, FALSE)*D844, "")</f>
        <v>424.12499999999994</v>
      </c>
    </row>
    <row r="845" spans="1:6" x14ac:dyDescent="0.25">
      <c r="A845" s="221">
        <v>45990</v>
      </c>
      <c r="B845" s="222">
        <v>17</v>
      </c>
      <c r="C845" s="223" t="s">
        <v>27</v>
      </c>
      <c r="D845" s="224">
        <v>8.5</v>
      </c>
      <c r="E845" s="224">
        <v>6</v>
      </c>
      <c r="F845" s="42">
        <f>IFERROR(VLOOKUP(E845, Table2[],2, FALSE)*D845, "")</f>
        <v>382.5</v>
      </c>
    </row>
    <row r="846" spans="1:6" x14ac:dyDescent="0.25">
      <c r="A846" s="221">
        <v>45990</v>
      </c>
      <c r="B846" s="222">
        <v>4</v>
      </c>
      <c r="C846" s="223" t="s">
        <v>27</v>
      </c>
      <c r="D846" s="224">
        <v>12.7</v>
      </c>
      <c r="E846" s="224">
        <v>6.4</v>
      </c>
      <c r="F846" s="42">
        <f>IFERROR(VLOOKUP(E846, Table2[],2, FALSE)*D846, "")</f>
        <v>609.59999999999991</v>
      </c>
    </row>
    <row r="847" spans="1:6" x14ac:dyDescent="0.25">
      <c r="A847" s="221">
        <v>45990</v>
      </c>
      <c r="B847" s="222">
        <v>10</v>
      </c>
      <c r="C847" s="223" t="s">
        <v>27</v>
      </c>
      <c r="D847" s="224">
        <v>3.6</v>
      </c>
      <c r="E847" s="224">
        <v>9.1</v>
      </c>
      <c r="F847" s="42">
        <f>IFERROR(VLOOKUP(E847, Table2[],2, FALSE)*D847, "")</f>
        <v>245.70000000000002</v>
      </c>
    </row>
    <row r="848" spans="1:6" x14ac:dyDescent="0.25">
      <c r="A848" s="221">
        <v>45991</v>
      </c>
      <c r="B848" s="222">
        <v>11</v>
      </c>
      <c r="C848" s="223" t="s">
        <v>37</v>
      </c>
      <c r="D848" s="224">
        <v>2</v>
      </c>
      <c r="E848" s="224">
        <v>9.1</v>
      </c>
      <c r="F848" s="42">
        <f>IFERROR(VLOOKUP(E848, Table2[],2, FALSE)*D848, "")</f>
        <v>136.5</v>
      </c>
    </row>
    <row r="849" spans="1:6" x14ac:dyDescent="0.25">
      <c r="A849" s="221">
        <v>45991</v>
      </c>
      <c r="B849" s="222">
        <v>12</v>
      </c>
      <c r="C849" s="223" t="s">
        <v>27</v>
      </c>
      <c r="D849" s="224">
        <v>3</v>
      </c>
      <c r="E849" s="224">
        <v>6</v>
      </c>
      <c r="F849" s="42">
        <f>IFERROR(VLOOKUP(E849, Table2[],2, FALSE)*D849, "")</f>
        <v>135</v>
      </c>
    </row>
    <row r="850" spans="1:6" x14ac:dyDescent="0.25">
      <c r="A850" s="221">
        <v>45991</v>
      </c>
      <c r="B850" s="222">
        <v>6</v>
      </c>
      <c r="C850" s="223" t="s">
        <v>27</v>
      </c>
      <c r="D850" s="224">
        <v>7.1</v>
      </c>
      <c r="E850" s="224">
        <v>6.2</v>
      </c>
      <c r="F850" s="42">
        <f>IFERROR(VLOOKUP(E850, Table2[],2, FALSE)*D850, "")</f>
        <v>330.15</v>
      </c>
    </row>
    <row r="851" spans="1:6" x14ac:dyDescent="0.25">
      <c r="A851" s="221">
        <v>45991</v>
      </c>
      <c r="B851" s="222">
        <v>1</v>
      </c>
      <c r="C851" s="223" t="s">
        <v>27</v>
      </c>
      <c r="D851" s="224">
        <v>3.6</v>
      </c>
      <c r="E851" s="224">
        <v>5.8</v>
      </c>
      <c r="F851" s="42">
        <f>IFERROR(VLOOKUP(E851, Table2[],2, FALSE)*D851, "")</f>
        <v>156.6</v>
      </c>
    </row>
    <row r="852" spans="1:6" x14ac:dyDescent="0.25">
      <c r="A852" s="221">
        <v>45991</v>
      </c>
      <c r="B852" s="222">
        <v>3</v>
      </c>
      <c r="C852" s="223" t="s">
        <v>27</v>
      </c>
      <c r="D852" s="224">
        <v>3.9</v>
      </c>
      <c r="E852" s="224">
        <v>6.2</v>
      </c>
      <c r="F852" s="42">
        <f>IFERROR(VLOOKUP(E852, Table2[],2, FALSE)*D852, "")</f>
        <v>181.35</v>
      </c>
    </row>
    <row r="853" spans="1:6" x14ac:dyDescent="0.25">
      <c r="A853" s="221">
        <v>45991</v>
      </c>
      <c r="B853" s="222">
        <v>9</v>
      </c>
      <c r="C853" s="223" t="s">
        <v>27</v>
      </c>
      <c r="D853" s="224">
        <v>0.7</v>
      </c>
      <c r="E853" s="224">
        <v>9</v>
      </c>
      <c r="F853" s="42">
        <f>IFERROR(VLOOKUP(E853, Table2[],2, FALSE)*D853, "")</f>
        <v>47.25</v>
      </c>
    </row>
    <row r="854" spans="1:6" x14ac:dyDescent="0.25">
      <c r="A854" s="221">
        <v>45991</v>
      </c>
      <c r="B854" s="222">
        <v>13</v>
      </c>
      <c r="C854" s="223" t="s">
        <v>27</v>
      </c>
      <c r="D854" s="224">
        <v>2</v>
      </c>
      <c r="E854" s="224">
        <v>6.9</v>
      </c>
      <c r="F854" s="42">
        <f>IFERROR(VLOOKUP(E854, Table2[],2, FALSE)*D854, "")</f>
        <v>103.5</v>
      </c>
    </row>
    <row r="855" spans="1:6" x14ac:dyDescent="0.25">
      <c r="A855" s="221">
        <v>45991</v>
      </c>
      <c r="B855" s="222">
        <v>8</v>
      </c>
      <c r="C855" s="223" t="s">
        <v>27</v>
      </c>
      <c r="D855" s="224">
        <v>5.3</v>
      </c>
      <c r="E855" s="224">
        <v>6</v>
      </c>
      <c r="F855" s="42">
        <f>IFERROR(VLOOKUP(E855, Table2[],2, FALSE)*D855, "")</f>
        <v>238.5</v>
      </c>
    </row>
    <row r="856" spans="1:6" x14ac:dyDescent="0.25">
      <c r="A856" s="221">
        <v>45991</v>
      </c>
      <c r="B856" s="222">
        <v>16</v>
      </c>
      <c r="C856" s="223" t="s">
        <v>27</v>
      </c>
      <c r="D856" s="224">
        <v>2.5</v>
      </c>
      <c r="E856" s="224">
        <v>6</v>
      </c>
      <c r="F856" s="42">
        <f>IFERROR(VLOOKUP(E856, Table2[],2, FALSE)*D856, "")</f>
        <v>112.5</v>
      </c>
    </row>
    <row r="857" spans="1:6" x14ac:dyDescent="0.25">
      <c r="A857" s="221">
        <v>45991</v>
      </c>
      <c r="B857" s="222">
        <v>17</v>
      </c>
      <c r="C857" s="223" t="s">
        <v>27</v>
      </c>
      <c r="D857" s="224">
        <v>7.4</v>
      </c>
      <c r="E857" s="224">
        <v>5.5</v>
      </c>
      <c r="F857" s="42">
        <f>IFERROR(VLOOKUP(E857, Table2[],2, FALSE)*D857, "")</f>
        <v>305.25</v>
      </c>
    </row>
    <row r="858" spans="1:6" x14ac:dyDescent="0.25">
      <c r="A858" s="221">
        <v>45991</v>
      </c>
      <c r="B858" s="222">
        <v>4</v>
      </c>
      <c r="C858" s="223" t="s">
        <v>27</v>
      </c>
      <c r="D858" s="224">
        <v>12.7</v>
      </c>
      <c r="E858" s="224">
        <v>6.4</v>
      </c>
      <c r="F858" s="42">
        <f>IFERROR(VLOOKUP(E858, Table2[],2, FALSE)*D858, "")</f>
        <v>609.59999999999991</v>
      </c>
    </row>
    <row r="859" spans="1:6" x14ac:dyDescent="0.25">
      <c r="A859" s="221">
        <v>45991</v>
      </c>
      <c r="B859" s="222">
        <v>11</v>
      </c>
      <c r="C859" s="223" t="s">
        <v>27</v>
      </c>
      <c r="D859" s="224">
        <v>2</v>
      </c>
      <c r="E859" s="224">
        <v>9.1</v>
      </c>
      <c r="F859" s="42">
        <f>IFERROR(VLOOKUP(E859, Table2[],2, FALSE)*D859, "")</f>
        <v>136.5</v>
      </c>
    </row>
    <row r="860" spans="1:6" x14ac:dyDescent="0.25">
      <c r="A860" s="221">
        <v>45986</v>
      </c>
      <c r="B860" s="222">
        <v>4</v>
      </c>
      <c r="C860" s="223" t="s">
        <v>27</v>
      </c>
      <c r="D860" s="224">
        <v>14.5</v>
      </c>
      <c r="E860" s="224">
        <v>6</v>
      </c>
      <c r="F860" s="42">
        <f>IFERROR(VLOOKUP(E860, Table2[],2, FALSE)*D860, "")</f>
        <v>652.5</v>
      </c>
    </row>
  </sheetData>
  <phoneticPr fontId="14" type="noConversion"/>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CB6C7-24E7-423B-B2D2-EB8369505F31}">
  <sheetPr codeName="Sheet6"/>
  <dimension ref="A1:F61"/>
  <sheetViews>
    <sheetView showGridLines="0" workbookViewId="0">
      <selection activeCell="A2" sqref="A2"/>
    </sheetView>
  </sheetViews>
  <sheetFormatPr defaultRowHeight="15" x14ac:dyDescent="0.25"/>
  <cols>
    <col min="1" max="1" width="11.28515625" bestFit="1" customWidth="1"/>
    <col min="2" max="2" width="7.7109375" bestFit="1" customWidth="1"/>
    <col min="3" max="3" width="13.7109375" bestFit="1" customWidth="1"/>
    <col min="4" max="4" width="9" bestFit="1" customWidth="1"/>
    <col min="5" max="5" width="8.7109375" bestFit="1" customWidth="1"/>
    <col min="6" max="6" width="13.140625" bestFit="1" customWidth="1"/>
  </cols>
  <sheetData>
    <row r="1" spans="1:6" x14ac:dyDescent="0.25">
      <c r="A1" s="28" t="s">
        <v>23</v>
      </c>
      <c r="B1" s="28" t="s">
        <v>38</v>
      </c>
      <c r="C1" s="28" t="s">
        <v>26</v>
      </c>
      <c r="D1" s="28" t="s">
        <v>24</v>
      </c>
      <c r="E1" s="28" t="s">
        <v>16</v>
      </c>
      <c r="F1" s="28" t="s">
        <v>25</v>
      </c>
    </row>
    <row r="2" spans="1:6" x14ac:dyDescent="0.25">
      <c r="A2" s="155">
        <v>45962</v>
      </c>
      <c r="B2" s="156">
        <v>17</v>
      </c>
      <c r="C2" s="129" t="s">
        <v>37</v>
      </c>
      <c r="D2" s="130">
        <v>10</v>
      </c>
      <c r="E2" s="130">
        <v>6.8</v>
      </c>
      <c r="F2" s="131">
        <v>510</v>
      </c>
    </row>
    <row r="3" spans="1:6" x14ac:dyDescent="0.25">
      <c r="A3" s="155">
        <v>45963</v>
      </c>
      <c r="B3" s="156">
        <v>17</v>
      </c>
      <c r="C3" s="129" t="s">
        <v>37</v>
      </c>
      <c r="D3" s="130">
        <v>12.5</v>
      </c>
      <c r="E3" s="130">
        <v>7.4</v>
      </c>
      <c r="F3" s="131">
        <v>693.75</v>
      </c>
    </row>
    <row r="4" spans="1:6" x14ac:dyDescent="0.25">
      <c r="A4" s="155">
        <v>45964</v>
      </c>
      <c r="B4" s="156">
        <v>17</v>
      </c>
      <c r="C4" s="129" t="s">
        <v>37</v>
      </c>
      <c r="D4" s="130">
        <v>10.5</v>
      </c>
      <c r="E4" s="130">
        <v>6.5</v>
      </c>
      <c r="F4" s="131">
        <v>511.875</v>
      </c>
    </row>
    <row r="5" spans="1:6" x14ac:dyDescent="0.25">
      <c r="A5" s="155">
        <v>45965</v>
      </c>
      <c r="B5" s="156">
        <v>17</v>
      </c>
      <c r="C5" s="129" t="s">
        <v>37</v>
      </c>
      <c r="D5" s="130">
        <v>11.1</v>
      </c>
      <c r="E5" s="130">
        <v>6</v>
      </c>
      <c r="F5" s="131">
        <v>499.5</v>
      </c>
    </row>
    <row r="6" spans="1:6" x14ac:dyDescent="0.25">
      <c r="A6" s="155">
        <v>45966</v>
      </c>
      <c r="B6" s="156">
        <v>17</v>
      </c>
      <c r="C6" s="129" t="s">
        <v>37</v>
      </c>
      <c r="D6" s="130">
        <v>14.1</v>
      </c>
      <c r="E6" s="130">
        <v>7</v>
      </c>
      <c r="F6" s="131">
        <v>740.25</v>
      </c>
    </row>
    <row r="7" spans="1:6" x14ac:dyDescent="0.25">
      <c r="A7" s="155">
        <v>45967</v>
      </c>
      <c r="B7" s="156">
        <v>17</v>
      </c>
      <c r="C7" s="129" t="s">
        <v>37</v>
      </c>
      <c r="D7" s="130">
        <v>13.9</v>
      </c>
      <c r="E7" s="130">
        <v>6.3</v>
      </c>
      <c r="F7" s="131">
        <v>656.77499999999998</v>
      </c>
    </row>
    <row r="8" spans="1:6" x14ac:dyDescent="0.25">
      <c r="A8" s="155">
        <v>45968</v>
      </c>
      <c r="B8" s="156">
        <v>17</v>
      </c>
      <c r="C8" s="129" t="s">
        <v>37</v>
      </c>
      <c r="D8" s="130">
        <v>10.7</v>
      </c>
      <c r="E8" s="130">
        <v>6.5</v>
      </c>
      <c r="F8" s="131">
        <v>521.625</v>
      </c>
    </row>
    <row r="9" spans="1:6" x14ac:dyDescent="0.25">
      <c r="A9" s="155">
        <v>45969</v>
      </c>
      <c r="B9" s="156">
        <v>17</v>
      </c>
      <c r="C9" s="129" t="s">
        <v>37</v>
      </c>
      <c r="D9" s="130">
        <v>10.8</v>
      </c>
      <c r="E9" s="130">
        <v>6.5</v>
      </c>
      <c r="F9" s="131">
        <v>526.5</v>
      </c>
    </row>
    <row r="10" spans="1:6" x14ac:dyDescent="0.25">
      <c r="A10" s="155">
        <v>45970</v>
      </c>
      <c r="B10" s="156">
        <v>17</v>
      </c>
      <c r="C10" s="129" t="s">
        <v>37</v>
      </c>
      <c r="D10" s="130">
        <v>10.6</v>
      </c>
      <c r="E10" s="130">
        <v>6.2</v>
      </c>
      <c r="F10" s="131">
        <v>492.9</v>
      </c>
    </row>
    <row r="11" spans="1:6" x14ac:dyDescent="0.25">
      <c r="A11" s="155">
        <v>45971</v>
      </c>
      <c r="B11" s="156">
        <v>17</v>
      </c>
      <c r="C11" s="129" t="s">
        <v>37</v>
      </c>
      <c r="D11" s="130">
        <v>11.4</v>
      </c>
      <c r="E11" s="130">
        <v>6.7</v>
      </c>
      <c r="F11" s="131">
        <v>572.85</v>
      </c>
    </row>
    <row r="12" spans="1:6" x14ac:dyDescent="0.25">
      <c r="A12" s="155">
        <v>45972</v>
      </c>
      <c r="B12" s="156">
        <v>17</v>
      </c>
      <c r="C12" s="129" t="s">
        <v>37</v>
      </c>
      <c r="D12" s="130">
        <v>11.2</v>
      </c>
      <c r="E12" s="130">
        <v>6</v>
      </c>
      <c r="F12" s="131">
        <v>503.99999999999994</v>
      </c>
    </row>
    <row r="13" spans="1:6" x14ac:dyDescent="0.25">
      <c r="A13" s="155">
        <v>45973</v>
      </c>
      <c r="B13" s="156">
        <v>17</v>
      </c>
      <c r="C13" s="129" t="s">
        <v>37</v>
      </c>
      <c r="D13" s="130">
        <v>9.6999999999999993</v>
      </c>
      <c r="E13" s="130">
        <v>7</v>
      </c>
      <c r="F13" s="131">
        <v>509.24999999999994</v>
      </c>
    </row>
    <row r="14" spans="1:6" x14ac:dyDescent="0.25">
      <c r="A14" s="155">
        <v>45974</v>
      </c>
      <c r="B14" s="156">
        <v>17</v>
      </c>
      <c r="C14" s="129" t="s">
        <v>37</v>
      </c>
      <c r="D14" s="130">
        <v>10.6</v>
      </c>
      <c r="E14" s="130">
        <v>6.5</v>
      </c>
      <c r="F14" s="131">
        <v>516.75</v>
      </c>
    </row>
    <row r="15" spans="1:6" x14ac:dyDescent="0.25">
      <c r="A15" s="155">
        <v>45975</v>
      </c>
      <c r="B15" s="156">
        <v>17</v>
      </c>
      <c r="C15" s="129" t="s">
        <v>37</v>
      </c>
      <c r="D15" s="130">
        <v>10</v>
      </c>
      <c r="E15" s="130">
        <v>6.4</v>
      </c>
      <c r="F15" s="131">
        <v>480</v>
      </c>
    </row>
    <row r="16" spans="1:6" x14ac:dyDescent="0.25">
      <c r="A16" s="155">
        <v>45976</v>
      </c>
      <c r="B16" s="156">
        <v>17</v>
      </c>
      <c r="C16" s="129" t="s">
        <v>37</v>
      </c>
      <c r="D16" s="130">
        <v>10.7</v>
      </c>
      <c r="E16" s="130">
        <v>7.8</v>
      </c>
      <c r="F16" s="131">
        <v>625.94999999999993</v>
      </c>
    </row>
    <row r="17" spans="1:6" x14ac:dyDescent="0.25">
      <c r="A17" s="221">
        <v>45977</v>
      </c>
      <c r="B17" s="222">
        <v>17</v>
      </c>
      <c r="C17" s="223" t="s">
        <v>37</v>
      </c>
      <c r="D17" s="224">
        <v>8.3000000000000007</v>
      </c>
      <c r="E17" s="224">
        <v>6.2</v>
      </c>
      <c r="F17" s="131">
        <v>385.95000000000005</v>
      </c>
    </row>
    <row r="18" spans="1:6" x14ac:dyDescent="0.25">
      <c r="A18" s="221">
        <v>45978</v>
      </c>
      <c r="B18" s="222">
        <v>17</v>
      </c>
      <c r="C18" s="223" t="s">
        <v>37</v>
      </c>
      <c r="D18" s="224">
        <v>9.9</v>
      </c>
      <c r="E18" s="224">
        <v>7.4</v>
      </c>
      <c r="F18" s="131">
        <v>549.45000000000005</v>
      </c>
    </row>
    <row r="19" spans="1:6" x14ac:dyDescent="0.25">
      <c r="A19" s="221">
        <v>45979</v>
      </c>
      <c r="B19" s="222">
        <v>17</v>
      </c>
      <c r="C19" s="223" t="s">
        <v>37</v>
      </c>
      <c r="D19" s="224">
        <v>9</v>
      </c>
      <c r="E19" s="224">
        <v>7</v>
      </c>
      <c r="F19" s="131">
        <v>472.5</v>
      </c>
    </row>
    <row r="20" spans="1:6" x14ac:dyDescent="0.25">
      <c r="A20" s="221">
        <v>45980</v>
      </c>
      <c r="B20" s="222">
        <v>17</v>
      </c>
      <c r="C20" s="223" t="s">
        <v>37</v>
      </c>
      <c r="D20" s="224">
        <v>10.1</v>
      </c>
      <c r="E20" s="224">
        <v>6.4</v>
      </c>
      <c r="F20" s="131">
        <v>484.79999999999995</v>
      </c>
    </row>
    <row r="21" spans="1:6" x14ac:dyDescent="0.25">
      <c r="A21" s="221">
        <v>45981</v>
      </c>
      <c r="B21" s="222">
        <v>17</v>
      </c>
      <c r="C21" s="223" t="s">
        <v>37</v>
      </c>
      <c r="D21" s="224">
        <v>9.4</v>
      </c>
      <c r="E21" s="224">
        <v>6.6</v>
      </c>
      <c r="F21" s="131">
        <v>465.3</v>
      </c>
    </row>
    <row r="22" spans="1:6" x14ac:dyDescent="0.25">
      <c r="A22" s="221">
        <v>45982</v>
      </c>
      <c r="B22" s="222">
        <v>17</v>
      </c>
      <c r="C22" s="223" t="s">
        <v>37</v>
      </c>
      <c r="D22" s="224">
        <v>10.8</v>
      </c>
      <c r="E22" s="224">
        <v>6.6</v>
      </c>
      <c r="F22" s="131">
        <v>534.6</v>
      </c>
    </row>
    <row r="23" spans="1:6" x14ac:dyDescent="0.25">
      <c r="A23" s="221">
        <v>45983</v>
      </c>
      <c r="B23" s="222">
        <v>17</v>
      </c>
      <c r="C23" s="223" t="s">
        <v>37</v>
      </c>
      <c r="D23" s="224">
        <v>9.8000000000000007</v>
      </c>
      <c r="E23" s="224">
        <v>6.8</v>
      </c>
      <c r="F23" s="131">
        <v>499.8</v>
      </c>
    </row>
    <row r="24" spans="1:6" x14ac:dyDescent="0.25">
      <c r="A24" s="221">
        <v>45984</v>
      </c>
      <c r="B24" s="222">
        <v>17</v>
      </c>
      <c r="C24" s="223" t="s">
        <v>37</v>
      </c>
      <c r="D24" s="224">
        <v>11.3</v>
      </c>
      <c r="E24" s="224">
        <v>6.2</v>
      </c>
      <c r="F24" s="131">
        <v>525.45000000000005</v>
      </c>
    </row>
    <row r="25" spans="1:6" x14ac:dyDescent="0.25">
      <c r="A25" s="221">
        <v>45985</v>
      </c>
      <c r="B25" s="222">
        <v>17</v>
      </c>
      <c r="C25" s="223" t="s">
        <v>37</v>
      </c>
      <c r="D25" s="224">
        <v>9.3000000000000007</v>
      </c>
      <c r="E25" s="224">
        <v>6.4</v>
      </c>
      <c r="F25" s="131">
        <v>446.40000000000003</v>
      </c>
    </row>
    <row r="26" spans="1:6" x14ac:dyDescent="0.25">
      <c r="A26" s="221">
        <v>45986</v>
      </c>
      <c r="B26" s="222">
        <v>17</v>
      </c>
      <c r="C26" s="223" t="s">
        <v>37</v>
      </c>
      <c r="D26" s="224">
        <v>9.1</v>
      </c>
      <c r="E26" s="224">
        <v>6.2</v>
      </c>
      <c r="F26" s="131">
        <v>423.15</v>
      </c>
    </row>
    <row r="27" spans="1:6" x14ac:dyDescent="0.25">
      <c r="A27" s="221">
        <v>45987</v>
      </c>
      <c r="B27" s="222">
        <v>17</v>
      </c>
      <c r="C27" s="223" t="s">
        <v>37</v>
      </c>
      <c r="D27" s="224">
        <v>10.9</v>
      </c>
      <c r="E27" s="224">
        <v>6.8</v>
      </c>
      <c r="F27" s="131">
        <v>555.9</v>
      </c>
    </row>
    <row r="28" spans="1:6" x14ac:dyDescent="0.25">
      <c r="A28" s="221">
        <v>45988</v>
      </c>
      <c r="B28" s="222">
        <v>17</v>
      </c>
      <c r="C28" s="223" t="s">
        <v>37</v>
      </c>
      <c r="D28" s="224">
        <v>11.1</v>
      </c>
      <c r="E28" s="224">
        <v>6.3</v>
      </c>
      <c r="F28" s="131">
        <v>524.47500000000002</v>
      </c>
    </row>
    <row r="29" spans="1:6" x14ac:dyDescent="0.25">
      <c r="A29" s="221">
        <v>45989</v>
      </c>
      <c r="B29" s="222">
        <v>17</v>
      </c>
      <c r="C29" s="223" t="s">
        <v>37</v>
      </c>
      <c r="D29" s="224">
        <v>10.6</v>
      </c>
      <c r="E29" s="224">
        <v>6.6</v>
      </c>
      <c r="F29" s="131">
        <v>524.69999999999993</v>
      </c>
    </row>
    <row r="30" spans="1:6" x14ac:dyDescent="0.25">
      <c r="A30" s="221">
        <v>45990</v>
      </c>
      <c r="B30" s="222">
        <v>17</v>
      </c>
      <c r="C30" s="223" t="s">
        <v>37</v>
      </c>
      <c r="D30" s="224">
        <v>8.9</v>
      </c>
      <c r="E30" s="224">
        <v>6.2</v>
      </c>
      <c r="F30" s="131">
        <v>413.85</v>
      </c>
    </row>
    <row r="31" spans="1:6" x14ac:dyDescent="0.25">
      <c r="A31" s="221">
        <v>45991</v>
      </c>
      <c r="B31" s="222">
        <v>17</v>
      </c>
      <c r="C31" s="223" t="s">
        <v>37</v>
      </c>
      <c r="D31" s="224">
        <v>11.1</v>
      </c>
      <c r="E31" s="224">
        <v>6</v>
      </c>
      <c r="F31" s="131">
        <v>499.5</v>
      </c>
    </row>
    <row r="32" spans="1:6" x14ac:dyDescent="0.25">
      <c r="A32" s="155">
        <v>45962</v>
      </c>
      <c r="B32" s="156">
        <v>17</v>
      </c>
      <c r="C32" s="129" t="s">
        <v>27</v>
      </c>
      <c r="D32" s="130">
        <v>3</v>
      </c>
      <c r="E32" s="130">
        <v>5.6</v>
      </c>
      <c r="F32" s="131">
        <v>126</v>
      </c>
    </row>
    <row r="33" spans="1:6" x14ac:dyDescent="0.25">
      <c r="A33" s="155">
        <v>45963</v>
      </c>
      <c r="B33" s="156">
        <v>17</v>
      </c>
      <c r="C33" s="129" t="s">
        <v>27</v>
      </c>
      <c r="D33" s="130">
        <v>7.8</v>
      </c>
      <c r="E33" s="130">
        <v>5.5</v>
      </c>
      <c r="F33" s="131">
        <v>321.75</v>
      </c>
    </row>
    <row r="34" spans="1:6" x14ac:dyDescent="0.25">
      <c r="A34" s="155">
        <v>45964</v>
      </c>
      <c r="B34" s="156">
        <v>17</v>
      </c>
      <c r="C34" s="129" t="s">
        <v>27</v>
      </c>
      <c r="D34" s="130">
        <v>8</v>
      </c>
      <c r="E34" s="130">
        <v>5.5</v>
      </c>
      <c r="F34" s="131">
        <v>330</v>
      </c>
    </row>
    <row r="35" spans="1:6" x14ac:dyDescent="0.25">
      <c r="A35" s="155">
        <v>45965</v>
      </c>
      <c r="B35" s="156">
        <v>17</v>
      </c>
      <c r="C35" s="129" t="s">
        <v>27</v>
      </c>
      <c r="D35" s="130">
        <v>3.1</v>
      </c>
      <c r="E35" s="130">
        <v>6.2</v>
      </c>
      <c r="F35" s="131">
        <v>144.15</v>
      </c>
    </row>
    <row r="36" spans="1:6" x14ac:dyDescent="0.25">
      <c r="A36" s="155">
        <v>45966</v>
      </c>
      <c r="B36" s="156">
        <v>17</v>
      </c>
      <c r="C36" s="129" t="s">
        <v>27</v>
      </c>
      <c r="D36" s="130">
        <v>2.4</v>
      </c>
      <c r="E36" s="130">
        <v>5.7</v>
      </c>
      <c r="F36" s="131">
        <v>102.6</v>
      </c>
    </row>
    <row r="37" spans="1:6" x14ac:dyDescent="0.25">
      <c r="A37" s="155">
        <v>45967</v>
      </c>
      <c r="B37" s="156">
        <v>17</v>
      </c>
      <c r="C37" s="129" t="s">
        <v>27</v>
      </c>
      <c r="D37" s="130">
        <v>7.9</v>
      </c>
      <c r="E37" s="130">
        <v>6</v>
      </c>
      <c r="F37" s="131">
        <v>355.5</v>
      </c>
    </row>
    <row r="38" spans="1:6" x14ac:dyDescent="0.25">
      <c r="A38" s="155">
        <v>45968</v>
      </c>
      <c r="B38" s="156">
        <v>17</v>
      </c>
      <c r="C38" s="129" t="s">
        <v>27</v>
      </c>
      <c r="D38" s="130">
        <v>8.6</v>
      </c>
      <c r="E38" s="130">
        <v>5</v>
      </c>
      <c r="F38" s="131">
        <v>322.5</v>
      </c>
    </row>
    <row r="39" spans="1:6" x14ac:dyDescent="0.25">
      <c r="A39" s="155">
        <v>45969</v>
      </c>
      <c r="B39" s="156">
        <v>17</v>
      </c>
      <c r="C39" s="129" t="s">
        <v>27</v>
      </c>
      <c r="D39" s="130">
        <v>9.1</v>
      </c>
      <c r="E39" s="130">
        <v>5.7</v>
      </c>
      <c r="F39" s="131">
        <v>389.02499999999998</v>
      </c>
    </row>
    <row r="40" spans="1:6" x14ac:dyDescent="0.25">
      <c r="A40" s="155">
        <v>45970</v>
      </c>
      <c r="B40" s="156">
        <v>17</v>
      </c>
      <c r="C40" s="129" t="s">
        <v>27</v>
      </c>
      <c r="D40" s="130">
        <v>8.1999999999999993</v>
      </c>
      <c r="E40" s="130">
        <v>6</v>
      </c>
      <c r="F40" s="131">
        <v>368.99999999999994</v>
      </c>
    </row>
    <row r="41" spans="1:6" x14ac:dyDescent="0.25">
      <c r="A41" s="155">
        <v>45971</v>
      </c>
      <c r="B41" s="156">
        <v>17</v>
      </c>
      <c r="C41" s="129" t="s">
        <v>27</v>
      </c>
      <c r="D41" s="130">
        <v>8.5</v>
      </c>
      <c r="E41" s="130">
        <v>5.7</v>
      </c>
      <c r="F41" s="131">
        <v>363.375</v>
      </c>
    </row>
    <row r="42" spans="1:6" x14ac:dyDescent="0.25">
      <c r="A42" s="155">
        <v>45973</v>
      </c>
      <c r="B42" s="156">
        <v>17</v>
      </c>
      <c r="C42" s="129" t="s">
        <v>27</v>
      </c>
      <c r="D42" s="130">
        <v>7.3</v>
      </c>
      <c r="E42" s="130">
        <v>5.6</v>
      </c>
      <c r="F42" s="131">
        <v>306.59999999999997</v>
      </c>
    </row>
    <row r="43" spans="1:6" x14ac:dyDescent="0.25">
      <c r="A43" s="155">
        <v>45974</v>
      </c>
      <c r="B43" s="156">
        <v>17</v>
      </c>
      <c r="C43" s="129" t="s">
        <v>27</v>
      </c>
      <c r="D43" s="130">
        <v>6.9</v>
      </c>
      <c r="E43" s="130">
        <v>6.2</v>
      </c>
      <c r="F43" s="131">
        <v>320.85000000000002</v>
      </c>
    </row>
    <row r="44" spans="1:6" x14ac:dyDescent="0.25">
      <c r="A44" s="155">
        <v>45972</v>
      </c>
      <c r="B44" s="156">
        <v>17</v>
      </c>
      <c r="C44" s="129" t="s">
        <v>27</v>
      </c>
      <c r="D44" s="130">
        <v>9.3000000000000007</v>
      </c>
      <c r="E44" s="130">
        <v>5.5</v>
      </c>
      <c r="F44" s="131">
        <v>383.62500000000006</v>
      </c>
    </row>
    <row r="45" spans="1:6" x14ac:dyDescent="0.25">
      <c r="A45" s="155">
        <v>45975</v>
      </c>
      <c r="B45" s="156">
        <v>17</v>
      </c>
      <c r="C45" s="129" t="s">
        <v>27</v>
      </c>
      <c r="D45" s="130">
        <v>6.9</v>
      </c>
      <c r="E45" s="130">
        <v>6</v>
      </c>
      <c r="F45" s="131">
        <v>310.5</v>
      </c>
    </row>
    <row r="46" spans="1:6" x14ac:dyDescent="0.25">
      <c r="A46" s="155">
        <v>45976</v>
      </c>
      <c r="B46" s="156">
        <v>17</v>
      </c>
      <c r="C46" s="129" t="s">
        <v>27</v>
      </c>
      <c r="D46" s="130">
        <v>6.2</v>
      </c>
      <c r="E46" s="130">
        <v>6.2</v>
      </c>
      <c r="F46" s="131">
        <v>288.3</v>
      </c>
    </row>
    <row r="47" spans="1:6" x14ac:dyDescent="0.25">
      <c r="A47" s="221">
        <v>45977</v>
      </c>
      <c r="B47" s="222">
        <v>17</v>
      </c>
      <c r="C47" s="223" t="s">
        <v>27</v>
      </c>
      <c r="D47" s="224">
        <v>8.5</v>
      </c>
      <c r="E47" s="224">
        <v>6.3</v>
      </c>
      <c r="F47" s="131">
        <v>401.625</v>
      </c>
    </row>
    <row r="48" spans="1:6" x14ac:dyDescent="0.25">
      <c r="A48" s="221">
        <v>45978</v>
      </c>
      <c r="B48" s="222">
        <v>17</v>
      </c>
      <c r="C48" s="223" t="s">
        <v>27</v>
      </c>
      <c r="D48" s="224">
        <v>6.2</v>
      </c>
      <c r="E48" s="224">
        <v>6</v>
      </c>
      <c r="F48" s="131">
        <v>279</v>
      </c>
    </row>
    <row r="49" spans="1:6" x14ac:dyDescent="0.25">
      <c r="A49" s="221">
        <v>45979</v>
      </c>
      <c r="B49" s="222">
        <v>17</v>
      </c>
      <c r="C49" s="223" t="s">
        <v>27</v>
      </c>
      <c r="D49" s="224">
        <v>7</v>
      </c>
      <c r="E49" s="224">
        <v>5.7</v>
      </c>
      <c r="F49" s="131">
        <v>299.25</v>
      </c>
    </row>
    <row r="50" spans="1:6" x14ac:dyDescent="0.25">
      <c r="A50" s="221">
        <v>45980</v>
      </c>
      <c r="B50" s="222">
        <v>17</v>
      </c>
      <c r="C50" s="223" t="s">
        <v>27</v>
      </c>
      <c r="D50" s="224">
        <v>7</v>
      </c>
      <c r="E50" s="224">
        <v>5.5</v>
      </c>
      <c r="F50" s="131">
        <v>288.75</v>
      </c>
    </row>
    <row r="51" spans="1:6" x14ac:dyDescent="0.25">
      <c r="A51" s="221">
        <v>45981</v>
      </c>
      <c r="B51" s="222">
        <v>17</v>
      </c>
      <c r="C51" s="223" t="s">
        <v>27</v>
      </c>
      <c r="D51" s="224">
        <v>6.1</v>
      </c>
      <c r="E51" s="224">
        <v>5.5</v>
      </c>
      <c r="F51" s="131">
        <v>251.62499999999997</v>
      </c>
    </row>
    <row r="52" spans="1:6" x14ac:dyDescent="0.25">
      <c r="A52" s="221">
        <v>45982</v>
      </c>
      <c r="B52" s="222">
        <v>17</v>
      </c>
      <c r="C52" s="223" t="s">
        <v>27</v>
      </c>
      <c r="D52" s="224">
        <v>6.5</v>
      </c>
      <c r="E52" s="224">
        <v>6</v>
      </c>
      <c r="F52" s="131">
        <v>292.5</v>
      </c>
    </row>
    <row r="53" spans="1:6" x14ac:dyDescent="0.25">
      <c r="A53" s="221">
        <v>45983</v>
      </c>
      <c r="B53" s="222">
        <v>17</v>
      </c>
      <c r="C53" s="223" t="s">
        <v>27</v>
      </c>
      <c r="D53" s="224">
        <v>6.5</v>
      </c>
      <c r="E53" s="224">
        <v>5.3</v>
      </c>
      <c r="F53" s="131">
        <v>258.375</v>
      </c>
    </row>
    <row r="54" spans="1:6" x14ac:dyDescent="0.25">
      <c r="A54" s="221">
        <v>45984</v>
      </c>
      <c r="B54" s="222">
        <v>17</v>
      </c>
      <c r="C54" s="223" t="s">
        <v>27</v>
      </c>
      <c r="D54" s="224">
        <v>8.1</v>
      </c>
      <c r="E54" s="224">
        <v>6</v>
      </c>
      <c r="F54" s="131">
        <v>364.5</v>
      </c>
    </row>
    <row r="55" spans="1:6" x14ac:dyDescent="0.25">
      <c r="A55" s="221">
        <v>45985</v>
      </c>
      <c r="B55" s="222">
        <v>17</v>
      </c>
      <c r="C55" s="223" t="s">
        <v>27</v>
      </c>
      <c r="D55" s="224">
        <v>8.3000000000000007</v>
      </c>
      <c r="E55" s="224">
        <v>5</v>
      </c>
      <c r="F55" s="131">
        <v>311.25</v>
      </c>
    </row>
    <row r="56" spans="1:6" x14ac:dyDescent="0.25">
      <c r="A56" s="221">
        <v>45986</v>
      </c>
      <c r="B56" s="222">
        <v>17</v>
      </c>
      <c r="C56" s="223" t="s">
        <v>27</v>
      </c>
      <c r="D56" s="224">
        <v>7.5</v>
      </c>
      <c r="E56" s="224">
        <v>5.5</v>
      </c>
      <c r="F56" s="131">
        <v>309.375</v>
      </c>
    </row>
    <row r="57" spans="1:6" x14ac:dyDescent="0.25">
      <c r="A57" s="221">
        <v>45987</v>
      </c>
      <c r="B57" s="222">
        <v>17</v>
      </c>
      <c r="C57" s="223" t="s">
        <v>27</v>
      </c>
      <c r="D57" s="224">
        <v>7.7</v>
      </c>
      <c r="E57" s="224">
        <v>5.5</v>
      </c>
      <c r="F57" s="131">
        <v>317.625</v>
      </c>
    </row>
    <row r="58" spans="1:6" x14ac:dyDescent="0.25">
      <c r="A58" s="221">
        <v>45988</v>
      </c>
      <c r="B58" s="222">
        <v>17</v>
      </c>
      <c r="C58" s="223" t="s">
        <v>27</v>
      </c>
      <c r="D58" s="224">
        <v>8.4</v>
      </c>
      <c r="E58" s="224">
        <v>5.5</v>
      </c>
      <c r="F58" s="131">
        <v>346.5</v>
      </c>
    </row>
    <row r="59" spans="1:6" x14ac:dyDescent="0.25">
      <c r="A59" s="221">
        <v>45989</v>
      </c>
      <c r="B59" s="222">
        <v>17</v>
      </c>
      <c r="C59" s="223" t="s">
        <v>27</v>
      </c>
      <c r="D59" s="224">
        <v>6.8</v>
      </c>
      <c r="E59" s="224">
        <v>6.2</v>
      </c>
      <c r="F59" s="131">
        <v>316.2</v>
      </c>
    </row>
    <row r="60" spans="1:6" x14ac:dyDescent="0.25">
      <c r="A60" s="221">
        <v>45990</v>
      </c>
      <c r="B60" s="222">
        <v>17</v>
      </c>
      <c r="C60" s="223" t="s">
        <v>27</v>
      </c>
      <c r="D60" s="224">
        <v>8.5</v>
      </c>
      <c r="E60" s="224">
        <v>6</v>
      </c>
      <c r="F60" s="131">
        <v>382.5</v>
      </c>
    </row>
    <row r="61" spans="1:6" x14ac:dyDescent="0.25">
      <c r="A61" s="221">
        <v>45991</v>
      </c>
      <c r="B61" s="222">
        <v>17</v>
      </c>
      <c r="C61" s="223" t="s">
        <v>27</v>
      </c>
      <c r="D61" s="224">
        <v>7.4</v>
      </c>
      <c r="E61" s="224">
        <v>5.5</v>
      </c>
      <c r="F61" s="131">
        <v>305.25</v>
      </c>
    </row>
  </sheetData>
  <autoFilter ref="A1:F31" xr:uid="{E33CB6C7-24E7-423B-B2D2-EB8369505F31}"/>
  <sortState xmlns:xlrd2="http://schemas.microsoft.com/office/spreadsheetml/2017/richdata2" ref="A2:F31">
    <sortCondition ref="C1:C3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C197B-DFB7-4E0C-ABD1-25AC6ADF1A67}">
  <sheetPr codeName="Sheet13"/>
  <dimension ref="A1:P26"/>
  <sheetViews>
    <sheetView showGridLines="0" workbookViewId="0">
      <selection activeCell="G24" sqref="G24"/>
    </sheetView>
  </sheetViews>
  <sheetFormatPr defaultRowHeight="16.5" x14ac:dyDescent="0.3"/>
  <cols>
    <col min="1" max="1" width="3" style="134" customWidth="1"/>
    <col min="2" max="2" width="6.42578125" style="134" customWidth="1"/>
    <col min="3" max="3" width="6" style="134" bestFit="1" customWidth="1"/>
    <col min="4" max="4" width="8.140625" style="134" customWidth="1"/>
    <col min="5" max="5" width="10.28515625" style="134" customWidth="1"/>
    <col min="6" max="6" width="8.140625" style="134" customWidth="1"/>
    <col min="7" max="7" width="12.140625" style="134" bestFit="1" customWidth="1"/>
    <col min="8" max="8" width="1.140625" style="134" customWidth="1"/>
    <col min="9" max="16384" width="9.140625" style="134"/>
  </cols>
  <sheetData>
    <row r="1" spans="1:16" ht="30" customHeight="1" x14ac:dyDescent="0.3">
      <c r="A1" s="190" t="s">
        <v>75</v>
      </c>
      <c r="B1" s="188"/>
      <c r="C1" s="148">
        <v>17</v>
      </c>
      <c r="D1" s="133" t="s">
        <v>76</v>
      </c>
      <c r="E1" s="150">
        <v>45977</v>
      </c>
      <c r="F1" s="133" t="s">
        <v>77</v>
      </c>
      <c r="G1" s="150">
        <v>45991</v>
      </c>
      <c r="M1" s="135"/>
      <c r="N1" s="135"/>
      <c r="O1" s="135"/>
      <c r="P1" s="135"/>
    </row>
    <row r="2" spans="1:16" ht="29.25" customHeight="1" x14ac:dyDescent="0.3">
      <c r="A2" s="190" t="s">
        <v>78</v>
      </c>
      <c r="B2" s="188"/>
      <c r="C2" s="191" t="str">
        <f>IFERROR(VLOOKUP(C1, MEMBERS_INFO!A2:B21, 2, FALSE), "")</f>
        <v>వడ్లమాని. బుజ్జయ్య</v>
      </c>
      <c r="D2" s="191"/>
      <c r="E2" s="191"/>
      <c r="F2" s="191"/>
      <c r="G2" s="191"/>
    </row>
    <row r="3" spans="1:16" ht="20.25" customHeight="1" x14ac:dyDescent="0.3">
      <c r="A3" s="192" t="s">
        <v>28</v>
      </c>
      <c r="B3" s="193" t="s">
        <v>29</v>
      </c>
      <c r="C3" s="193"/>
      <c r="D3" s="193"/>
      <c r="E3" s="193" t="s">
        <v>30</v>
      </c>
      <c r="F3" s="193"/>
      <c r="G3" s="193"/>
    </row>
    <row r="4" spans="1:16" s="137" customFormat="1" ht="42.75" x14ac:dyDescent="0.25">
      <c r="A4" s="192"/>
      <c r="B4" s="136" t="s">
        <v>33</v>
      </c>
      <c r="C4" s="136" t="s">
        <v>32</v>
      </c>
      <c r="D4" s="136" t="s">
        <v>31</v>
      </c>
      <c r="E4" s="136" t="s">
        <v>33</v>
      </c>
      <c r="F4" s="136" t="s">
        <v>32</v>
      </c>
      <c r="G4" s="136" t="s">
        <v>31</v>
      </c>
    </row>
    <row r="5" spans="1:16" x14ac:dyDescent="0.3">
      <c r="A5" s="138">
        <v>45977</v>
      </c>
      <c r="B5" s="139">
        <v>8.3000000000000007</v>
      </c>
      <c r="C5" s="139">
        <v>6.2</v>
      </c>
      <c r="D5" s="140">
        <v>385.95000000000005</v>
      </c>
      <c r="E5" s="139">
        <v>8.5</v>
      </c>
      <c r="F5" s="139">
        <v>6.3</v>
      </c>
      <c r="G5" s="140">
        <v>401.625</v>
      </c>
    </row>
    <row r="6" spans="1:16" x14ac:dyDescent="0.3">
      <c r="A6" s="138">
        <v>45978</v>
      </c>
      <c r="B6" s="139">
        <v>9.9</v>
      </c>
      <c r="C6" s="139">
        <v>7.4</v>
      </c>
      <c r="D6" s="140">
        <v>549.45000000000005</v>
      </c>
      <c r="E6" s="139">
        <v>6.2</v>
      </c>
      <c r="F6" s="139">
        <v>6</v>
      </c>
      <c r="G6" s="140">
        <v>279</v>
      </c>
    </row>
    <row r="7" spans="1:16" x14ac:dyDescent="0.3">
      <c r="A7" s="138">
        <v>45979</v>
      </c>
      <c r="B7" s="139">
        <v>9</v>
      </c>
      <c r="C7" s="139">
        <v>7</v>
      </c>
      <c r="D7" s="140">
        <v>472.5</v>
      </c>
      <c r="E7" s="139">
        <v>7</v>
      </c>
      <c r="F7" s="139">
        <v>5.7</v>
      </c>
      <c r="G7" s="140">
        <v>299.25</v>
      </c>
    </row>
    <row r="8" spans="1:16" x14ac:dyDescent="0.3">
      <c r="A8" s="138">
        <v>45980</v>
      </c>
      <c r="B8" s="139">
        <v>10.1</v>
      </c>
      <c r="C8" s="139">
        <v>6.4</v>
      </c>
      <c r="D8" s="140">
        <v>484.79999999999995</v>
      </c>
      <c r="E8" s="139">
        <v>7</v>
      </c>
      <c r="F8" s="139">
        <v>5.5</v>
      </c>
      <c r="G8" s="140">
        <v>288.75</v>
      </c>
    </row>
    <row r="9" spans="1:16" x14ac:dyDescent="0.3">
      <c r="A9" s="138">
        <v>45981</v>
      </c>
      <c r="B9" s="139">
        <v>9.4</v>
      </c>
      <c r="C9" s="139">
        <v>6.6</v>
      </c>
      <c r="D9" s="140">
        <v>465.3</v>
      </c>
      <c r="E9" s="139">
        <v>6.1</v>
      </c>
      <c r="F9" s="139">
        <v>5.5</v>
      </c>
      <c r="G9" s="140">
        <v>251.62499999999997</v>
      </c>
    </row>
    <row r="10" spans="1:16" x14ac:dyDescent="0.3">
      <c r="A10" s="138">
        <v>45982</v>
      </c>
      <c r="B10" s="139">
        <v>10.8</v>
      </c>
      <c r="C10" s="139">
        <v>6.6</v>
      </c>
      <c r="D10" s="140">
        <v>534.6</v>
      </c>
      <c r="E10" s="139">
        <v>6.5</v>
      </c>
      <c r="F10" s="139">
        <v>6</v>
      </c>
      <c r="G10" s="140">
        <v>292.5</v>
      </c>
    </row>
    <row r="11" spans="1:16" x14ac:dyDescent="0.3">
      <c r="A11" s="138">
        <v>45983</v>
      </c>
      <c r="B11" s="139">
        <v>9.8000000000000007</v>
      </c>
      <c r="C11" s="139">
        <v>6.8</v>
      </c>
      <c r="D11" s="140">
        <v>499.8</v>
      </c>
      <c r="E11" s="139">
        <v>6.5</v>
      </c>
      <c r="F11" s="139">
        <v>5.3</v>
      </c>
      <c r="G11" s="140">
        <v>258.375</v>
      </c>
    </row>
    <row r="12" spans="1:16" x14ac:dyDescent="0.3">
      <c r="A12" s="138">
        <v>45984</v>
      </c>
      <c r="B12" s="139">
        <v>11.3</v>
      </c>
      <c r="C12" s="139">
        <v>6.2</v>
      </c>
      <c r="D12" s="140">
        <v>525.45000000000005</v>
      </c>
      <c r="E12" s="139">
        <v>8.1</v>
      </c>
      <c r="F12" s="139">
        <v>6</v>
      </c>
      <c r="G12" s="140">
        <v>364.5</v>
      </c>
    </row>
    <row r="13" spans="1:16" x14ac:dyDescent="0.3">
      <c r="A13" s="138">
        <v>45985</v>
      </c>
      <c r="B13" s="139">
        <v>9.3000000000000007</v>
      </c>
      <c r="C13" s="139">
        <v>6.4</v>
      </c>
      <c r="D13" s="140">
        <v>446.40000000000003</v>
      </c>
      <c r="E13" s="139">
        <v>8.3000000000000007</v>
      </c>
      <c r="F13" s="139">
        <v>5</v>
      </c>
      <c r="G13" s="140">
        <v>311.25</v>
      </c>
    </row>
    <row r="14" spans="1:16" x14ac:dyDescent="0.3">
      <c r="A14" s="138">
        <v>45986</v>
      </c>
      <c r="B14" s="139">
        <v>9.1</v>
      </c>
      <c r="C14" s="139">
        <v>6.2</v>
      </c>
      <c r="D14" s="140">
        <v>423.15</v>
      </c>
      <c r="E14" s="139">
        <v>7.5</v>
      </c>
      <c r="F14" s="139">
        <v>5.5</v>
      </c>
      <c r="G14" s="140">
        <v>309.375</v>
      </c>
    </row>
    <row r="15" spans="1:16" x14ac:dyDescent="0.3">
      <c r="A15" s="138">
        <v>45987</v>
      </c>
      <c r="B15" s="139">
        <v>10.9</v>
      </c>
      <c r="C15" s="139">
        <v>6.8</v>
      </c>
      <c r="D15" s="140">
        <v>555.9</v>
      </c>
      <c r="E15" s="139">
        <v>7.7</v>
      </c>
      <c r="F15" s="139">
        <v>5.5</v>
      </c>
      <c r="G15" s="140">
        <v>317.625</v>
      </c>
    </row>
    <row r="16" spans="1:16" x14ac:dyDescent="0.3">
      <c r="A16" s="138">
        <v>45988</v>
      </c>
      <c r="B16" s="139">
        <v>11.1</v>
      </c>
      <c r="C16" s="139">
        <v>6.3</v>
      </c>
      <c r="D16" s="140">
        <v>524.47500000000002</v>
      </c>
      <c r="E16" s="139">
        <v>8.4</v>
      </c>
      <c r="F16" s="139">
        <v>5.5</v>
      </c>
      <c r="G16" s="140">
        <v>346.5</v>
      </c>
    </row>
    <row r="17" spans="1:7" x14ac:dyDescent="0.3">
      <c r="A17" s="138">
        <v>45989</v>
      </c>
      <c r="B17" s="139">
        <v>10.6</v>
      </c>
      <c r="C17" s="139">
        <v>6.6</v>
      </c>
      <c r="D17" s="140">
        <v>524.69999999999993</v>
      </c>
      <c r="E17" s="139">
        <v>6.8</v>
      </c>
      <c r="F17" s="139">
        <v>6.2</v>
      </c>
      <c r="G17" s="140">
        <v>316.2</v>
      </c>
    </row>
    <row r="18" spans="1:7" x14ac:dyDescent="0.3">
      <c r="A18" s="138">
        <v>45990</v>
      </c>
      <c r="B18" s="139">
        <v>8.9</v>
      </c>
      <c r="C18" s="139">
        <v>6.2</v>
      </c>
      <c r="D18" s="140">
        <v>413.85</v>
      </c>
      <c r="E18" s="139">
        <v>8.5</v>
      </c>
      <c r="F18" s="139">
        <v>6</v>
      </c>
      <c r="G18" s="140">
        <v>382.5</v>
      </c>
    </row>
    <row r="19" spans="1:7" x14ac:dyDescent="0.3">
      <c r="A19" s="138">
        <v>45991</v>
      </c>
      <c r="B19" s="139">
        <v>11.1</v>
      </c>
      <c r="C19" s="139">
        <v>6</v>
      </c>
      <c r="D19" s="140">
        <v>499.5</v>
      </c>
      <c r="E19" s="139">
        <v>7.4</v>
      </c>
      <c r="F19" s="139">
        <v>5.5</v>
      </c>
      <c r="G19" s="140">
        <v>305.25</v>
      </c>
    </row>
    <row r="20" spans="1:7" x14ac:dyDescent="0.3">
      <c r="A20" s="138"/>
      <c r="B20" s="139"/>
      <c r="C20" s="139"/>
      <c r="D20" s="140"/>
      <c r="E20" s="139"/>
      <c r="F20" s="139"/>
      <c r="G20" s="140"/>
    </row>
    <row r="21" spans="1:7" ht="5.25" customHeight="1" x14ac:dyDescent="0.3">
      <c r="A21" s="141"/>
      <c r="B21" s="142"/>
      <c r="C21" s="142"/>
      <c r="D21" s="142"/>
      <c r="E21" s="142"/>
      <c r="F21" s="142"/>
      <c r="G21" s="142"/>
    </row>
    <row r="22" spans="1:7" x14ac:dyDescent="0.3">
      <c r="A22" s="142"/>
      <c r="B22" s="188" t="s">
        <v>39</v>
      </c>
      <c r="C22" s="188"/>
      <c r="D22" s="188"/>
      <c r="E22" s="188"/>
      <c r="F22" s="188"/>
      <c r="G22" s="145">
        <f>SUM(B5:B20) + SUM(E5:E20)</f>
        <v>260.10000000000002</v>
      </c>
    </row>
    <row r="23" spans="1:7" x14ac:dyDescent="0.3">
      <c r="A23" s="142"/>
      <c r="B23" s="188" t="s">
        <v>40</v>
      </c>
      <c r="C23" s="188"/>
      <c r="D23" s="188"/>
      <c r="E23" s="188"/>
      <c r="F23" s="188"/>
      <c r="G23" s="146">
        <f>SUM(D5:D20) + SUM(G5:G20)</f>
        <v>12030.15</v>
      </c>
    </row>
    <row r="24" spans="1:7" x14ac:dyDescent="0.3">
      <c r="A24" s="142"/>
      <c r="B24" s="188" t="s">
        <v>85</v>
      </c>
      <c r="C24" s="188"/>
      <c r="D24" s="188"/>
      <c r="E24" s="188"/>
      <c r="F24" s="188"/>
      <c r="G24" s="147">
        <v>0</v>
      </c>
    </row>
    <row r="25" spans="1:7" ht="18.75" x14ac:dyDescent="0.3">
      <c r="A25" s="142"/>
      <c r="B25" s="189" t="s">
        <v>41</v>
      </c>
      <c r="C25" s="189"/>
      <c r="D25" s="189"/>
      <c r="E25" s="189"/>
      <c r="F25" s="189"/>
      <c r="G25" s="149">
        <f>G23-G24</f>
        <v>12030.15</v>
      </c>
    </row>
    <row r="26" spans="1:7" x14ac:dyDescent="0.3">
      <c r="A26" s="142"/>
      <c r="B26" s="142"/>
      <c r="C26" s="142"/>
      <c r="D26" s="142"/>
      <c r="E26" s="142"/>
      <c r="F26" s="142"/>
      <c r="G26" s="142"/>
    </row>
  </sheetData>
  <mergeCells count="10">
    <mergeCell ref="B22:F22"/>
    <mergeCell ref="B23:F23"/>
    <mergeCell ref="B24:F24"/>
    <mergeCell ref="B25:F25"/>
    <mergeCell ref="A1:B1"/>
    <mergeCell ref="A2:B2"/>
    <mergeCell ref="C2:G2"/>
    <mergeCell ref="A3:A4"/>
    <mergeCell ref="B3:D3"/>
    <mergeCell ref="E3:G3"/>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98F7D-C0FB-4BCD-8AC1-50752FDCAAE8}">
  <sheetPr codeName="Sheet5"/>
  <dimension ref="A1:P26"/>
  <sheetViews>
    <sheetView showGridLines="0" workbookViewId="0">
      <selection activeCell="J30" sqref="J30"/>
    </sheetView>
  </sheetViews>
  <sheetFormatPr defaultRowHeight="15" x14ac:dyDescent="0.25"/>
  <cols>
    <col min="1" max="1" width="3" customWidth="1"/>
    <col min="2" max="2" width="6.42578125" customWidth="1"/>
    <col min="3" max="3" width="5.85546875" bestFit="1" customWidth="1"/>
    <col min="4" max="4" width="8.140625" customWidth="1"/>
    <col min="5" max="5" width="6.42578125" bestFit="1" customWidth="1"/>
    <col min="6" max="6" width="5.85546875" bestFit="1" customWidth="1"/>
    <col min="7" max="7" width="11.42578125" bestFit="1" customWidth="1"/>
    <col min="8" max="8" width="1.140625" customWidth="1"/>
  </cols>
  <sheetData>
    <row r="1" spans="1:16" x14ac:dyDescent="0.25">
      <c r="A1" s="200" t="s">
        <v>34</v>
      </c>
      <c r="B1" s="200"/>
      <c r="C1" s="51">
        <v>15</v>
      </c>
      <c r="D1" s="46" t="s">
        <v>36</v>
      </c>
      <c r="E1" s="198">
        <v>45793</v>
      </c>
      <c r="F1" s="198"/>
      <c r="G1" s="198"/>
      <c r="M1" s="31"/>
      <c r="N1" s="31"/>
      <c r="O1" s="31"/>
      <c r="P1" s="31"/>
    </row>
    <row r="2" spans="1:16" x14ac:dyDescent="0.25">
      <c r="A2" s="200" t="s">
        <v>35</v>
      </c>
      <c r="B2" s="200"/>
      <c r="C2" s="199" t="str">
        <f>IFERROR(VLOOKUP(C1, MEMBERS_INFO!A2:B21, 2, FALSE), "")</f>
        <v>గిద్దలూరి. ప్రకాష్</v>
      </c>
      <c r="D2" s="199"/>
      <c r="E2" s="199"/>
      <c r="F2" s="199"/>
      <c r="G2" s="199"/>
    </row>
    <row r="3" spans="1:16" x14ac:dyDescent="0.25">
      <c r="A3" s="197" t="s">
        <v>28</v>
      </c>
      <c r="B3" s="196" t="s">
        <v>29</v>
      </c>
      <c r="C3" s="196"/>
      <c r="D3" s="196"/>
      <c r="E3" s="196" t="s">
        <v>30</v>
      </c>
      <c r="F3" s="196"/>
      <c r="G3" s="196"/>
    </row>
    <row r="4" spans="1:16" s="27" customFormat="1" ht="25.5" x14ac:dyDescent="0.25">
      <c r="A4" s="197"/>
      <c r="B4" s="47" t="s">
        <v>33</v>
      </c>
      <c r="C4" s="47" t="s">
        <v>32</v>
      </c>
      <c r="D4" s="47" t="s">
        <v>31</v>
      </c>
      <c r="E4" s="47" t="s">
        <v>33</v>
      </c>
      <c r="F4" s="47" t="s">
        <v>32</v>
      </c>
      <c r="G4" s="47" t="s">
        <v>31</v>
      </c>
    </row>
    <row r="5" spans="1:16" x14ac:dyDescent="0.25">
      <c r="A5" s="48">
        <v>45793</v>
      </c>
      <c r="B5" s="49">
        <v>8.8000000000000007</v>
      </c>
      <c r="C5" s="49">
        <v>6.7</v>
      </c>
      <c r="D5" s="50">
        <v>442.20000000000005</v>
      </c>
      <c r="E5" s="49">
        <v>4.5</v>
      </c>
      <c r="F5" s="49">
        <v>6</v>
      </c>
      <c r="G5" s="50">
        <v>202.5</v>
      </c>
    </row>
    <row r="6" spans="1:16" x14ac:dyDescent="0.25">
      <c r="A6" s="48">
        <v>45794</v>
      </c>
      <c r="B6" s="49">
        <v>8</v>
      </c>
      <c r="C6" s="49">
        <v>7.2</v>
      </c>
      <c r="D6" s="50">
        <v>432</v>
      </c>
      <c r="E6" s="49">
        <v>3.7</v>
      </c>
      <c r="F6" s="49">
        <v>6</v>
      </c>
      <c r="G6" s="50">
        <v>166.5</v>
      </c>
    </row>
    <row r="7" spans="1:16" x14ac:dyDescent="0.25">
      <c r="A7" s="48">
        <v>45795</v>
      </c>
      <c r="B7" s="49">
        <v>9.6</v>
      </c>
      <c r="C7" s="49">
        <v>6.4</v>
      </c>
      <c r="D7" s="50">
        <v>460.79999999999995</v>
      </c>
      <c r="E7" s="49">
        <v>3.8</v>
      </c>
      <c r="F7" s="49">
        <v>6.3</v>
      </c>
      <c r="G7" s="50">
        <v>179.54999999999998</v>
      </c>
    </row>
    <row r="8" spans="1:16" x14ac:dyDescent="0.25">
      <c r="A8" s="48">
        <v>45796</v>
      </c>
      <c r="B8" s="49">
        <v>9.8000000000000007</v>
      </c>
      <c r="C8" s="49">
        <v>6.9</v>
      </c>
      <c r="D8" s="50">
        <v>507.15000000000003</v>
      </c>
      <c r="E8" s="49">
        <v>2.4</v>
      </c>
      <c r="F8" s="49">
        <v>6</v>
      </c>
      <c r="G8" s="50">
        <v>108</v>
      </c>
    </row>
    <row r="9" spans="1:16" x14ac:dyDescent="0.25">
      <c r="A9" s="48">
        <v>45797</v>
      </c>
      <c r="B9" s="49">
        <v>9.1</v>
      </c>
      <c r="C9" s="49">
        <v>7.3</v>
      </c>
      <c r="D9" s="50">
        <v>498.22499999999997</v>
      </c>
      <c r="E9" s="49">
        <v>4.0999999999999996</v>
      </c>
      <c r="F9" s="49">
        <v>6</v>
      </c>
      <c r="G9" s="50">
        <v>184.49999999999997</v>
      </c>
    </row>
    <row r="10" spans="1:16" x14ac:dyDescent="0.25">
      <c r="A10" s="48">
        <v>45798</v>
      </c>
      <c r="B10" s="49">
        <v>9.9</v>
      </c>
      <c r="C10" s="49">
        <v>7</v>
      </c>
      <c r="D10" s="50">
        <v>519.75</v>
      </c>
      <c r="E10" s="49">
        <v>4.4000000000000004</v>
      </c>
      <c r="F10" s="49">
        <v>6</v>
      </c>
      <c r="G10" s="50">
        <v>198.00000000000003</v>
      </c>
    </row>
    <row r="11" spans="1:16" x14ac:dyDescent="0.25">
      <c r="A11" s="48">
        <v>45799</v>
      </c>
      <c r="B11" s="49">
        <v>9.6</v>
      </c>
      <c r="C11" s="49">
        <v>6.9</v>
      </c>
      <c r="D11" s="50">
        <v>496.79999999999995</v>
      </c>
      <c r="E11" s="49">
        <v>3</v>
      </c>
      <c r="F11" s="49">
        <v>5.5</v>
      </c>
      <c r="G11" s="50">
        <v>123.75</v>
      </c>
    </row>
    <row r="12" spans="1:16" x14ac:dyDescent="0.25">
      <c r="A12" s="48">
        <v>45800</v>
      </c>
      <c r="B12" s="49">
        <v>9.8000000000000007</v>
      </c>
      <c r="C12" s="49">
        <v>7.2</v>
      </c>
      <c r="D12" s="50">
        <v>529.20000000000005</v>
      </c>
      <c r="E12" s="49">
        <v>4.2</v>
      </c>
      <c r="F12" s="49">
        <v>5.8</v>
      </c>
      <c r="G12" s="50">
        <v>182.70000000000002</v>
      </c>
    </row>
    <row r="13" spans="1:16" x14ac:dyDescent="0.25">
      <c r="A13" s="48">
        <v>45801</v>
      </c>
      <c r="B13" s="49">
        <v>9.1999999999999993</v>
      </c>
      <c r="C13" s="49">
        <v>6.6</v>
      </c>
      <c r="D13" s="50">
        <v>455.4</v>
      </c>
      <c r="E13" s="49">
        <v>2.4</v>
      </c>
      <c r="F13" s="49">
        <v>6.3</v>
      </c>
      <c r="G13" s="50">
        <v>113.39999999999999</v>
      </c>
    </row>
    <row r="14" spans="1:16" x14ac:dyDescent="0.25">
      <c r="A14" s="48">
        <v>45802</v>
      </c>
      <c r="B14" s="49">
        <v>9.9</v>
      </c>
      <c r="C14" s="49">
        <v>7.9</v>
      </c>
      <c r="D14" s="50">
        <v>586.57500000000005</v>
      </c>
      <c r="E14" s="49">
        <v>4.4000000000000004</v>
      </c>
      <c r="F14" s="49">
        <v>6</v>
      </c>
      <c r="G14" s="50">
        <v>198.00000000000003</v>
      </c>
    </row>
    <row r="15" spans="1:16" x14ac:dyDescent="0.25">
      <c r="A15" s="48">
        <v>45803</v>
      </c>
      <c r="B15" s="49">
        <v>8.9</v>
      </c>
      <c r="C15" s="49">
        <v>6.7</v>
      </c>
      <c r="D15" s="50">
        <v>447.22500000000002</v>
      </c>
      <c r="E15" s="49">
        <v>4</v>
      </c>
      <c r="F15" s="49">
        <v>6.2</v>
      </c>
      <c r="G15" s="50">
        <v>186</v>
      </c>
    </row>
    <row r="16" spans="1:16" x14ac:dyDescent="0.25">
      <c r="A16" s="48">
        <v>45804</v>
      </c>
      <c r="B16" s="49">
        <v>10.199999999999999</v>
      </c>
      <c r="C16" s="49">
        <v>7.2</v>
      </c>
      <c r="D16" s="50">
        <v>550.79999999999995</v>
      </c>
      <c r="E16" s="49">
        <v>3.6</v>
      </c>
      <c r="F16" s="49">
        <v>6</v>
      </c>
      <c r="G16" s="50">
        <v>162</v>
      </c>
    </row>
    <row r="17" spans="1:7" x14ac:dyDescent="0.25">
      <c r="A17" s="48">
        <v>45805</v>
      </c>
      <c r="B17" s="49">
        <v>10.4</v>
      </c>
      <c r="C17" s="49">
        <v>7.9</v>
      </c>
      <c r="D17" s="50">
        <v>616.20000000000005</v>
      </c>
      <c r="E17" s="49">
        <v>3.8</v>
      </c>
      <c r="F17" s="49">
        <v>5.5</v>
      </c>
      <c r="G17" s="50">
        <v>156.75</v>
      </c>
    </row>
    <row r="18" spans="1:7" x14ac:dyDescent="0.25">
      <c r="A18" s="48">
        <v>45806</v>
      </c>
      <c r="B18" s="49">
        <v>10.199999999999999</v>
      </c>
      <c r="C18" s="49">
        <v>7.5</v>
      </c>
      <c r="D18" s="50">
        <v>573.75</v>
      </c>
      <c r="E18" s="49">
        <v>4.0999999999999996</v>
      </c>
      <c r="F18" s="49">
        <v>6</v>
      </c>
      <c r="G18" s="50">
        <v>184.49999999999997</v>
      </c>
    </row>
    <row r="19" spans="1:7" x14ac:dyDescent="0.25">
      <c r="A19" s="48">
        <v>45807</v>
      </c>
      <c r="B19" s="49">
        <v>10.9</v>
      </c>
      <c r="C19" s="49">
        <v>7.2</v>
      </c>
      <c r="D19" s="50">
        <v>588.6</v>
      </c>
      <c r="E19" s="49">
        <v>3.8</v>
      </c>
      <c r="F19" s="49">
        <v>5.5</v>
      </c>
      <c r="G19" s="50">
        <v>156.75</v>
      </c>
    </row>
    <row r="20" spans="1:7" x14ac:dyDescent="0.25">
      <c r="A20" s="48">
        <v>45808</v>
      </c>
      <c r="B20" s="49">
        <v>10</v>
      </c>
      <c r="C20" s="49">
        <v>7.2</v>
      </c>
      <c r="D20" s="50">
        <v>540</v>
      </c>
      <c r="E20" s="49">
        <v>4.8</v>
      </c>
      <c r="F20" s="49">
        <v>6.4</v>
      </c>
      <c r="G20" s="50">
        <v>230.39999999999998</v>
      </c>
    </row>
    <row r="21" spans="1:7" ht="5.25" customHeight="1" x14ac:dyDescent="0.25">
      <c r="A21" s="44"/>
      <c r="B21" s="21"/>
      <c r="C21" s="21"/>
      <c r="D21" s="21"/>
      <c r="E21" s="21"/>
      <c r="F21" s="21"/>
      <c r="G21" s="21"/>
    </row>
    <row r="22" spans="1:7" x14ac:dyDescent="0.25">
      <c r="A22" s="21"/>
      <c r="B22" s="194" t="s">
        <v>39</v>
      </c>
      <c r="C22" s="194"/>
      <c r="D22" s="194"/>
      <c r="E22" s="194"/>
      <c r="F22" s="194"/>
      <c r="G22" s="98">
        <f>SUM(B5:B20) + SUM(E5:E20)</f>
        <v>215.3</v>
      </c>
    </row>
    <row r="23" spans="1:7" x14ac:dyDescent="0.25">
      <c r="A23" s="21"/>
      <c r="B23" s="194" t="s">
        <v>40</v>
      </c>
      <c r="C23" s="194"/>
      <c r="D23" s="194"/>
      <c r="E23" s="194"/>
      <c r="F23" s="194"/>
      <c r="G23" s="109">
        <f>SUM(D5:D20) + SUM(G5:G20)</f>
        <v>10977.974999999999</v>
      </c>
    </row>
    <row r="24" spans="1:7" x14ac:dyDescent="0.25">
      <c r="A24" s="21"/>
      <c r="B24" s="194" t="s">
        <v>45</v>
      </c>
      <c r="C24" s="194"/>
      <c r="D24" s="194"/>
      <c r="E24" s="194"/>
      <c r="F24" s="194"/>
      <c r="G24" s="104">
        <v>500</v>
      </c>
    </row>
    <row r="25" spans="1:7" ht="15.75" x14ac:dyDescent="0.25">
      <c r="A25" s="21"/>
      <c r="B25" s="195" t="s">
        <v>41</v>
      </c>
      <c r="C25" s="195"/>
      <c r="D25" s="195"/>
      <c r="E25" s="195"/>
      <c r="F25" s="195"/>
      <c r="G25" s="108">
        <f>G23-G24</f>
        <v>10477.974999999999</v>
      </c>
    </row>
    <row r="26" spans="1:7" x14ac:dyDescent="0.25">
      <c r="A26" s="21"/>
      <c r="B26" s="21"/>
      <c r="C26" s="21"/>
      <c r="D26" s="21"/>
      <c r="E26" s="21"/>
      <c r="F26" s="21"/>
      <c r="G26" s="21"/>
    </row>
  </sheetData>
  <mergeCells count="11">
    <mergeCell ref="A3:A4"/>
    <mergeCell ref="E1:G1"/>
    <mergeCell ref="C2:G2"/>
    <mergeCell ref="A1:B1"/>
    <mergeCell ref="A2:B2"/>
    <mergeCell ref="B24:F24"/>
    <mergeCell ref="B22:F22"/>
    <mergeCell ref="B23:F23"/>
    <mergeCell ref="B25:F25"/>
    <mergeCell ref="B3:D3"/>
    <mergeCell ref="E3:G3"/>
  </mergeCell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FA10D-098A-46CD-A661-43DAAA4CEF32}">
  <sheetPr codeName="Sheet14">
    <pageSetUpPr fitToPage="1"/>
  </sheetPr>
  <dimension ref="A1:AD1000"/>
  <sheetViews>
    <sheetView showGridLines="0" zoomScaleNormal="100" workbookViewId="0">
      <selection activeCell="I186" sqref="I186:O210"/>
    </sheetView>
  </sheetViews>
  <sheetFormatPr defaultRowHeight="15" x14ac:dyDescent="0.25"/>
  <cols>
    <col min="1" max="1" width="4.28515625" customWidth="1"/>
    <col min="2" max="2" width="9.28515625" customWidth="1"/>
    <col min="3" max="3" width="6.28515625" customWidth="1"/>
    <col min="4" max="4" width="9.28515625" customWidth="1"/>
    <col min="5" max="5" width="11" style="34" customWidth="1"/>
    <col min="6" max="6" width="6.28515625" customWidth="1"/>
    <col min="7" max="7" width="11.140625" style="34" customWidth="1"/>
    <col min="8" max="8" width="9.28515625" customWidth="1"/>
    <col min="9" max="9" width="4.28515625" customWidth="1"/>
    <col min="10" max="10" width="9.28515625" customWidth="1"/>
    <col min="11" max="11" width="6.28515625" customWidth="1"/>
    <col min="12" max="12" width="9.28515625" customWidth="1"/>
    <col min="13" max="13" width="11.28515625" style="34" customWidth="1"/>
    <col min="14" max="14" width="6.28515625" customWidth="1"/>
    <col min="15" max="15" width="10.7109375" style="34" customWidth="1"/>
    <col min="16" max="16" width="2.7109375" customWidth="1"/>
    <col min="27" max="27" width="13.85546875" bestFit="1" customWidth="1"/>
    <col min="28" max="28" width="11.140625" bestFit="1" customWidth="1"/>
  </cols>
  <sheetData>
    <row r="1" spans="1:30" s="34" customFormat="1" ht="30" customHeight="1" x14ac:dyDescent="0.25">
      <c r="A1" s="190" t="s">
        <v>75</v>
      </c>
      <c r="B1" s="188"/>
      <c r="C1" s="148">
        <v>1</v>
      </c>
      <c r="D1" s="133" t="s">
        <v>76</v>
      </c>
      <c r="E1" s="150">
        <v>45977</v>
      </c>
      <c r="F1" s="133" t="s">
        <v>77</v>
      </c>
      <c r="G1" s="150">
        <v>45991</v>
      </c>
      <c r="H1"/>
      <c r="I1" s="190" t="s">
        <v>75</v>
      </c>
      <c r="J1" s="188"/>
      <c r="K1" s="148">
        <v>2</v>
      </c>
      <c r="L1" s="133" t="s">
        <v>76</v>
      </c>
      <c r="M1" s="150">
        <v>45977</v>
      </c>
      <c r="N1" s="133" t="s">
        <v>77</v>
      </c>
      <c r="O1" s="150">
        <v>45991</v>
      </c>
      <c r="P1"/>
    </row>
    <row r="2" spans="1:30" s="34" customFormat="1" ht="30" customHeight="1" x14ac:dyDescent="0.25">
      <c r="A2" s="190" t="s">
        <v>78</v>
      </c>
      <c r="B2" s="188"/>
      <c r="C2" s="191" t="s">
        <v>88</v>
      </c>
      <c r="D2" s="191"/>
      <c r="E2" s="191"/>
      <c r="F2" s="191"/>
      <c r="G2" s="191"/>
      <c r="H2"/>
      <c r="I2" s="190" t="s">
        <v>78</v>
      </c>
      <c r="J2" s="188"/>
      <c r="K2" s="191" t="s">
        <v>3</v>
      </c>
      <c r="L2" s="191"/>
      <c r="M2" s="191"/>
      <c r="N2" s="191"/>
      <c r="O2" s="191"/>
      <c r="P2"/>
    </row>
    <row r="3" spans="1:30" ht="18" customHeight="1" x14ac:dyDescent="0.3">
      <c r="A3" s="192" t="s">
        <v>28</v>
      </c>
      <c r="B3" s="193" t="s">
        <v>29</v>
      </c>
      <c r="C3" s="193"/>
      <c r="D3" s="193"/>
      <c r="E3" s="193" t="s">
        <v>30</v>
      </c>
      <c r="F3" s="193"/>
      <c r="G3" s="193"/>
      <c r="I3" s="192" t="s">
        <v>28</v>
      </c>
      <c r="J3" s="193" t="s">
        <v>29</v>
      </c>
      <c r="K3" s="193"/>
      <c r="L3" s="193"/>
      <c r="M3" s="193" t="s">
        <v>30</v>
      </c>
      <c r="N3" s="193"/>
      <c r="O3" s="193"/>
      <c r="X3" s="34"/>
      <c r="Y3" s="34"/>
      <c r="Z3" s="34"/>
      <c r="AA3" s="34"/>
      <c r="AB3" s="34"/>
      <c r="AC3" s="34"/>
      <c r="AD3" s="34"/>
    </row>
    <row r="4" spans="1:30" s="27" customFormat="1" ht="30" customHeight="1" x14ac:dyDescent="0.25">
      <c r="A4" s="192"/>
      <c r="B4" s="136" t="s">
        <v>33</v>
      </c>
      <c r="C4" s="136" t="s">
        <v>32</v>
      </c>
      <c r="D4" s="136" t="s">
        <v>31</v>
      </c>
      <c r="E4" s="136" t="s">
        <v>33</v>
      </c>
      <c r="F4" s="136" t="s">
        <v>32</v>
      </c>
      <c r="G4" s="136" t="s">
        <v>31</v>
      </c>
      <c r="H4"/>
      <c r="I4" s="192"/>
      <c r="J4" s="136" t="s">
        <v>33</v>
      </c>
      <c r="K4" s="136" t="s">
        <v>32</v>
      </c>
      <c r="L4" s="136" t="s">
        <v>31</v>
      </c>
      <c r="M4" s="136" t="s">
        <v>33</v>
      </c>
      <c r="N4" s="136" t="s">
        <v>32</v>
      </c>
      <c r="O4" s="136" t="s">
        <v>31</v>
      </c>
      <c r="P4"/>
      <c r="X4" s="34"/>
      <c r="Y4" s="34"/>
      <c r="Z4" s="34"/>
      <c r="AA4" s="34"/>
      <c r="AB4" s="34"/>
      <c r="AC4" s="34"/>
      <c r="AD4" s="34"/>
    </row>
    <row r="5" spans="1:30" ht="15" customHeight="1" x14ac:dyDescent="0.25">
      <c r="A5" s="138">
        <v>45977</v>
      </c>
      <c r="B5" s="139">
        <v>3.1</v>
      </c>
      <c r="C5" s="139">
        <v>8</v>
      </c>
      <c r="D5" s="140">
        <v>186</v>
      </c>
      <c r="E5" s="139">
        <v>5.7</v>
      </c>
      <c r="F5" s="139">
        <v>6.8</v>
      </c>
      <c r="G5" s="140">
        <v>290.7</v>
      </c>
      <c r="I5" s="138">
        <v>45977</v>
      </c>
      <c r="J5" s="139">
        <v>1.5</v>
      </c>
      <c r="K5" s="139">
        <v>10</v>
      </c>
      <c r="L5" s="140">
        <v>112.5</v>
      </c>
      <c r="M5" s="139"/>
      <c r="N5" s="139"/>
      <c r="O5" s="140"/>
      <c r="X5" s="34"/>
      <c r="Y5" s="34"/>
      <c r="Z5" s="34"/>
      <c r="AA5" s="34"/>
      <c r="AB5" s="34"/>
      <c r="AC5" s="34"/>
      <c r="AD5" s="34"/>
    </row>
    <row r="6" spans="1:30" ht="15" customHeight="1" x14ac:dyDescent="0.25">
      <c r="A6" s="138">
        <v>45978</v>
      </c>
      <c r="B6" s="139">
        <v>8.5</v>
      </c>
      <c r="C6" s="139">
        <v>8.1</v>
      </c>
      <c r="D6" s="140">
        <v>516.375</v>
      </c>
      <c r="E6" s="139">
        <v>4.7</v>
      </c>
      <c r="F6" s="139">
        <v>7.1</v>
      </c>
      <c r="G6" s="140">
        <v>250.27500000000001</v>
      </c>
      <c r="I6" s="138">
        <v>45978</v>
      </c>
      <c r="J6" s="139">
        <v>1.6</v>
      </c>
      <c r="K6" s="139">
        <v>9.4</v>
      </c>
      <c r="L6" s="140">
        <v>112.80000000000001</v>
      </c>
      <c r="M6" s="139"/>
      <c r="N6" s="139"/>
      <c r="O6" s="140"/>
      <c r="X6" s="34"/>
      <c r="Y6" s="34"/>
      <c r="Z6" s="34"/>
      <c r="AA6" s="34"/>
      <c r="AB6" s="34"/>
      <c r="AC6" s="34"/>
      <c r="AD6" s="34"/>
    </row>
    <row r="7" spans="1:30" ht="15" customHeight="1" x14ac:dyDescent="0.25">
      <c r="A7" s="138">
        <v>45979</v>
      </c>
      <c r="B7" s="139">
        <v>8.6999999999999993</v>
      </c>
      <c r="C7" s="139">
        <v>7.8</v>
      </c>
      <c r="D7" s="140">
        <v>508.94999999999993</v>
      </c>
      <c r="E7" s="139">
        <v>3.9</v>
      </c>
      <c r="F7" s="139">
        <v>7.6</v>
      </c>
      <c r="G7" s="140">
        <v>222.29999999999998</v>
      </c>
      <c r="I7" s="138">
        <v>45979</v>
      </c>
      <c r="J7" s="139">
        <v>1</v>
      </c>
      <c r="K7" s="139">
        <v>10</v>
      </c>
      <c r="L7" s="140">
        <v>75</v>
      </c>
      <c r="M7" s="139"/>
      <c r="N7" s="139"/>
      <c r="O7" s="140"/>
      <c r="X7" s="34"/>
      <c r="Y7" s="34"/>
      <c r="Z7" s="34"/>
      <c r="AA7" s="34"/>
      <c r="AB7" s="34"/>
      <c r="AC7" s="34"/>
      <c r="AD7" s="34"/>
    </row>
    <row r="8" spans="1:30" ht="15" customHeight="1" x14ac:dyDescent="0.25">
      <c r="A8" s="138">
        <v>45980</v>
      </c>
      <c r="B8" s="139">
        <v>7.4</v>
      </c>
      <c r="C8" s="139">
        <v>8.3000000000000007</v>
      </c>
      <c r="D8" s="140">
        <v>460.65000000000003</v>
      </c>
      <c r="E8" s="139">
        <v>4.9000000000000004</v>
      </c>
      <c r="F8" s="139">
        <v>6.5</v>
      </c>
      <c r="G8" s="140">
        <v>238.87500000000003</v>
      </c>
      <c r="I8" s="138">
        <v>45980</v>
      </c>
      <c r="J8" s="139">
        <v>1.1000000000000001</v>
      </c>
      <c r="K8" s="139">
        <v>10</v>
      </c>
      <c r="L8" s="140">
        <v>82.5</v>
      </c>
      <c r="M8" s="139"/>
      <c r="N8" s="139"/>
      <c r="O8" s="140"/>
      <c r="X8" s="34"/>
      <c r="Y8" s="34"/>
      <c r="Z8" s="34"/>
      <c r="AA8" s="34"/>
      <c r="AB8" s="34"/>
      <c r="AC8" s="34"/>
      <c r="AD8" s="34"/>
    </row>
    <row r="9" spans="1:30" ht="15" customHeight="1" x14ac:dyDescent="0.25">
      <c r="A9" s="138">
        <v>45981</v>
      </c>
      <c r="B9" s="139">
        <v>7.4</v>
      </c>
      <c r="C9" s="139">
        <v>8.6</v>
      </c>
      <c r="D9" s="140">
        <v>477.3</v>
      </c>
      <c r="E9" s="139">
        <v>5</v>
      </c>
      <c r="F9" s="139">
        <v>6.9</v>
      </c>
      <c r="G9" s="140">
        <v>258.75</v>
      </c>
      <c r="I9" s="138">
        <v>45981</v>
      </c>
      <c r="J9" s="139"/>
      <c r="K9" s="139"/>
      <c r="L9" s="140"/>
      <c r="M9" s="139"/>
      <c r="N9" s="139"/>
      <c r="O9" s="140"/>
      <c r="X9" s="34"/>
      <c r="Y9" s="34"/>
      <c r="Z9" s="34"/>
      <c r="AA9" s="34"/>
      <c r="AB9" s="34"/>
      <c r="AC9" s="34"/>
      <c r="AD9" s="34"/>
    </row>
    <row r="10" spans="1:30" ht="15" customHeight="1" x14ac:dyDescent="0.25">
      <c r="A10" s="138">
        <v>45982</v>
      </c>
      <c r="B10" s="139">
        <v>8</v>
      </c>
      <c r="C10" s="139">
        <v>8.1999999999999993</v>
      </c>
      <c r="D10" s="140">
        <v>492</v>
      </c>
      <c r="E10" s="139">
        <v>3.5</v>
      </c>
      <c r="F10" s="139">
        <v>6</v>
      </c>
      <c r="G10" s="140">
        <v>157.5</v>
      </c>
      <c r="I10" s="138">
        <v>45982</v>
      </c>
      <c r="J10" s="139">
        <v>1.8</v>
      </c>
      <c r="K10" s="139">
        <v>9.6</v>
      </c>
      <c r="L10" s="140">
        <v>129.6</v>
      </c>
      <c r="M10" s="139"/>
      <c r="N10" s="139"/>
      <c r="O10" s="140"/>
      <c r="X10" s="34"/>
      <c r="Y10" s="34"/>
      <c r="Z10" s="34"/>
      <c r="AA10" s="34"/>
      <c r="AB10" s="34"/>
      <c r="AC10" s="34"/>
      <c r="AD10" s="34"/>
    </row>
    <row r="11" spans="1:30" ht="15" customHeight="1" x14ac:dyDescent="0.25">
      <c r="A11" s="138">
        <v>45983</v>
      </c>
      <c r="B11" s="139">
        <v>8.6999999999999993</v>
      </c>
      <c r="C11" s="139">
        <v>8.1999999999999993</v>
      </c>
      <c r="D11" s="140">
        <v>535.04999999999995</v>
      </c>
      <c r="E11" s="139">
        <v>3</v>
      </c>
      <c r="F11" s="139">
        <v>6.1</v>
      </c>
      <c r="G11" s="140">
        <v>137.25</v>
      </c>
      <c r="I11" s="138">
        <v>45983</v>
      </c>
      <c r="J11" s="139">
        <v>1.6</v>
      </c>
      <c r="K11" s="139">
        <v>9.4</v>
      </c>
      <c r="L11" s="140">
        <v>112.80000000000001</v>
      </c>
      <c r="M11" s="139"/>
      <c r="N11" s="139"/>
      <c r="O11" s="140"/>
      <c r="X11" s="34"/>
      <c r="Y11" s="34"/>
      <c r="Z11" s="34"/>
      <c r="AA11" s="34"/>
      <c r="AB11" s="34"/>
      <c r="AC11" s="34"/>
      <c r="AD11" s="34"/>
    </row>
    <row r="12" spans="1:30" ht="15" customHeight="1" x14ac:dyDescent="0.25">
      <c r="A12" s="138">
        <v>45984</v>
      </c>
      <c r="B12" s="139">
        <v>7.9</v>
      </c>
      <c r="C12" s="139">
        <v>8.4</v>
      </c>
      <c r="D12" s="140">
        <v>497.70000000000005</v>
      </c>
      <c r="E12" s="139">
        <v>3</v>
      </c>
      <c r="F12" s="139">
        <v>6.2</v>
      </c>
      <c r="G12" s="140">
        <v>139.5</v>
      </c>
      <c r="I12" s="138">
        <v>45984</v>
      </c>
      <c r="J12" s="139">
        <v>1.5</v>
      </c>
      <c r="K12" s="139">
        <v>9.6</v>
      </c>
      <c r="L12" s="140">
        <v>108</v>
      </c>
      <c r="M12" s="139"/>
      <c r="N12" s="139"/>
      <c r="O12" s="140"/>
      <c r="X12" s="34"/>
      <c r="Y12" s="34"/>
      <c r="Z12" s="34"/>
      <c r="AA12" s="34"/>
      <c r="AB12" s="34"/>
      <c r="AC12" s="34"/>
      <c r="AD12" s="34"/>
    </row>
    <row r="13" spans="1:30" ht="15" customHeight="1" x14ac:dyDescent="0.25">
      <c r="A13" s="138">
        <v>45985</v>
      </c>
      <c r="B13" s="139">
        <v>8.6</v>
      </c>
      <c r="C13" s="139">
        <v>8.5</v>
      </c>
      <c r="D13" s="140">
        <v>548.25</v>
      </c>
      <c r="E13" s="139">
        <v>3.2</v>
      </c>
      <c r="F13" s="139">
        <v>6.6</v>
      </c>
      <c r="G13" s="140">
        <v>158.4</v>
      </c>
      <c r="I13" s="138">
        <v>45985</v>
      </c>
      <c r="J13" s="139">
        <v>1.5</v>
      </c>
      <c r="K13" s="139">
        <v>9.5</v>
      </c>
      <c r="L13" s="140">
        <v>106.875</v>
      </c>
      <c r="M13" s="139"/>
      <c r="N13" s="139"/>
      <c r="O13" s="140"/>
      <c r="X13" s="34"/>
      <c r="Y13" s="34"/>
      <c r="Z13" s="34"/>
      <c r="AA13" s="34"/>
      <c r="AB13" s="34"/>
      <c r="AC13" s="34"/>
      <c r="AD13" s="34"/>
    </row>
    <row r="14" spans="1:30" ht="15" customHeight="1" x14ac:dyDescent="0.25">
      <c r="A14" s="138">
        <v>45986</v>
      </c>
      <c r="B14" s="139">
        <v>8.5</v>
      </c>
      <c r="C14" s="139">
        <v>8</v>
      </c>
      <c r="D14" s="140">
        <v>510</v>
      </c>
      <c r="E14" s="139">
        <v>3.1</v>
      </c>
      <c r="F14" s="139">
        <v>7</v>
      </c>
      <c r="G14" s="140">
        <v>162.75</v>
      </c>
      <c r="I14" s="138">
        <v>45986</v>
      </c>
      <c r="J14" s="139">
        <v>1.6</v>
      </c>
      <c r="K14" s="139">
        <v>10</v>
      </c>
      <c r="L14" s="140">
        <v>120</v>
      </c>
      <c r="M14" s="139"/>
      <c r="N14" s="139"/>
      <c r="O14" s="140"/>
      <c r="X14" s="34"/>
      <c r="Y14" s="34"/>
      <c r="Z14" s="34"/>
      <c r="AA14" s="34"/>
      <c r="AB14" s="34"/>
      <c r="AC14" s="34"/>
      <c r="AD14" s="34"/>
    </row>
    <row r="15" spans="1:30" ht="15" customHeight="1" x14ac:dyDescent="0.25">
      <c r="A15" s="138">
        <v>45987</v>
      </c>
      <c r="B15" s="139">
        <v>6</v>
      </c>
      <c r="C15" s="139">
        <v>9.4</v>
      </c>
      <c r="D15" s="140">
        <v>423</v>
      </c>
      <c r="E15" s="139">
        <v>3.2</v>
      </c>
      <c r="F15" s="139">
        <v>6.3</v>
      </c>
      <c r="G15" s="140">
        <v>151.20000000000002</v>
      </c>
      <c r="I15" s="138">
        <v>45987</v>
      </c>
      <c r="J15" s="139">
        <v>1.2</v>
      </c>
      <c r="K15" s="139">
        <v>10</v>
      </c>
      <c r="L15" s="140">
        <v>90</v>
      </c>
      <c r="M15" s="139"/>
      <c r="N15" s="139"/>
      <c r="O15" s="140"/>
      <c r="X15" s="34"/>
      <c r="Y15" s="34"/>
      <c r="Z15" s="34"/>
      <c r="AA15" s="34"/>
      <c r="AB15" s="34"/>
      <c r="AC15" s="34"/>
      <c r="AD15" s="34"/>
    </row>
    <row r="16" spans="1:30" ht="15" customHeight="1" x14ac:dyDescent="0.25">
      <c r="A16" s="138">
        <v>45988</v>
      </c>
      <c r="B16" s="139">
        <v>8.1</v>
      </c>
      <c r="C16" s="139">
        <v>9</v>
      </c>
      <c r="D16" s="140">
        <v>546.75</v>
      </c>
      <c r="E16" s="139">
        <v>2.8</v>
      </c>
      <c r="F16" s="139">
        <v>6.5</v>
      </c>
      <c r="G16" s="140">
        <v>136.5</v>
      </c>
      <c r="I16" s="138">
        <v>45988</v>
      </c>
      <c r="J16" s="139"/>
      <c r="K16" s="139"/>
      <c r="L16" s="140"/>
      <c r="M16" s="139"/>
      <c r="N16" s="139"/>
      <c r="O16" s="140"/>
      <c r="X16" s="34"/>
      <c r="Y16" s="34"/>
      <c r="Z16" s="34"/>
      <c r="AA16" s="34"/>
      <c r="AB16" s="34"/>
      <c r="AC16" s="34"/>
      <c r="AD16" s="34"/>
    </row>
    <row r="17" spans="1:16" ht="15" customHeight="1" x14ac:dyDescent="0.25">
      <c r="A17" s="138">
        <v>45989</v>
      </c>
      <c r="B17" s="139">
        <v>8.5</v>
      </c>
      <c r="C17" s="139">
        <v>9</v>
      </c>
      <c r="D17" s="140">
        <v>573.75</v>
      </c>
      <c r="E17" s="139">
        <v>3</v>
      </c>
      <c r="F17" s="139">
        <v>6.5</v>
      </c>
      <c r="G17" s="140">
        <v>146.25</v>
      </c>
      <c r="I17" s="138">
        <v>45989</v>
      </c>
      <c r="J17" s="139">
        <v>1.3</v>
      </c>
      <c r="K17" s="139">
        <v>10</v>
      </c>
      <c r="L17" s="140">
        <v>97.5</v>
      </c>
      <c r="M17" s="139"/>
      <c r="N17" s="139"/>
      <c r="O17" s="140"/>
    </row>
    <row r="18" spans="1:16" ht="15" customHeight="1" x14ac:dyDescent="0.25">
      <c r="A18" s="138">
        <v>45990</v>
      </c>
      <c r="B18" s="139">
        <v>6.7</v>
      </c>
      <c r="C18" s="139">
        <v>7.5</v>
      </c>
      <c r="D18" s="140">
        <v>376.875</v>
      </c>
      <c r="E18" s="139">
        <v>2.9</v>
      </c>
      <c r="F18" s="139">
        <v>7</v>
      </c>
      <c r="G18" s="140">
        <v>152.25</v>
      </c>
      <c r="I18" s="138">
        <v>45990</v>
      </c>
      <c r="J18" s="139">
        <v>1.3</v>
      </c>
      <c r="K18" s="139">
        <v>9.5</v>
      </c>
      <c r="L18" s="140">
        <v>92.625</v>
      </c>
      <c r="M18" s="139"/>
      <c r="N18" s="139"/>
      <c r="O18" s="140"/>
    </row>
    <row r="19" spans="1:16" ht="15" customHeight="1" x14ac:dyDescent="0.25">
      <c r="A19" s="138">
        <v>45991</v>
      </c>
      <c r="B19" s="139">
        <v>9.1999999999999993</v>
      </c>
      <c r="C19" s="139">
        <v>9.4</v>
      </c>
      <c r="D19" s="140">
        <v>648.59999999999991</v>
      </c>
      <c r="E19" s="139">
        <v>3.6</v>
      </c>
      <c r="F19" s="139">
        <v>5.8</v>
      </c>
      <c r="G19" s="140">
        <v>156.6</v>
      </c>
      <c r="I19" s="138">
        <v>45991</v>
      </c>
      <c r="J19" s="139">
        <v>1.2</v>
      </c>
      <c r="K19" s="139">
        <v>9</v>
      </c>
      <c r="L19" s="140">
        <v>81</v>
      </c>
      <c r="M19" s="139"/>
      <c r="N19" s="139"/>
      <c r="O19" s="140"/>
    </row>
    <row r="20" spans="1:16" ht="15" customHeight="1" x14ac:dyDescent="0.25">
      <c r="A20" s="138"/>
      <c r="B20" s="139"/>
      <c r="C20" s="139"/>
      <c r="D20" s="140"/>
      <c r="E20" s="139"/>
      <c r="F20" s="139"/>
      <c r="G20" s="140"/>
      <c r="I20" s="138"/>
      <c r="J20" s="139"/>
      <c r="K20" s="139"/>
      <c r="L20" s="140"/>
      <c r="M20" s="139"/>
      <c r="N20" s="139"/>
      <c r="O20" s="140"/>
    </row>
    <row r="21" spans="1:16" ht="2.25" customHeight="1" x14ac:dyDescent="0.25">
      <c r="A21" s="141"/>
      <c r="B21" s="142"/>
      <c r="C21" s="142"/>
      <c r="D21" s="142"/>
      <c r="E21" s="142"/>
      <c r="F21" s="142"/>
      <c r="G21" s="142"/>
      <c r="I21" s="141"/>
      <c r="J21" s="142"/>
      <c r="K21" s="142"/>
      <c r="L21" s="142"/>
      <c r="M21" s="142"/>
      <c r="N21" s="142"/>
      <c r="O21" s="142"/>
    </row>
    <row r="22" spans="1:16" ht="15" customHeight="1" x14ac:dyDescent="0.25">
      <c r="A22" s="142"/>
      <c r="B22" s="188" t="s">
        <v>39</v>
      </c>
      <c r="C22" s="188"/>
      <c r="D22" s="188"/>
      <c r="E22" s="188"/>
      <c r="F22" s="188"/>
      <c r="G22" s="145">
        <v>170.8</v>
      </c>
      <c r="I22" s="142"/>
      <c r="J22" s="188" t="s">
        <v>39</v>
      </c>
      <c r="K22" s="188"/>
      <c r="L22" s="188"/>
      <c r="M22" s="188"/>
      <c r="N22" s="188"/>
      <c r="O22" s="145">
        <v>18.2</v>
      </c>
    </row>
    <row r="23" spans="1:16" x14ac:dyDescent="0.25">
      <c r="A23" s="142"/>
      <c r="B23" s="188" t="s">
        <v>40</v>
      </c>
      <c r="C23" s="188"/>
      <c r="D23" s="188"/>
      <c r="E23" s="188"/>
      <c r="F23" s="188"/>
      <c r="G23" s="146">
        <v>10060.35</v>
      </c>
      <c r="I23" s="142"/>
      <c r="J23" s="188" t="s">
        <v>40</v>
      </c>
      <c r="K23" s="188"/>
      <c r="L23" s="188"/>
      <c r="M23" s="188"/>
      <c r="N23" s="188"/>
      <c r="O23" s="146">
        <v>1321.2</v>
      </c>
    </row>
    <row r="24" spans="1:16" x14ac:dyDescent="0.25">
      <c r="A24" s="142"/>
      <c r="B24" s="188" t="s">
        <v>46</v>
      </c>
      <c r="C24" s="188"/>
      <c r="D24" s="188"/>
      <c r="E24" s="188"/>
      <c r="F24" s="188"/>
      <c r="G24" s="147">
        <v>0</v>
      </c>
      <c r="I24" s="142"/>
      <c r="J24" s="188" t="s">
        <v>46</v>
      </c>
      <c r="K24" s="188"/>
      <c r="L24" s="188"/>
      <c r="M24" s="188"/>
      <c r="N24" s="188"/>
      <c r="O24" s="147">
        <v>0</v>
      </c>
    </row>
    <row r="25" spans="1:16" s="34" customFormat="1" ht="30" customHeight="1" x14ac:dyDescent="0.25">
      <c r="A25" s="142"/>
      <c r="B25" s="189" t="s">
        <v>41</v>
      </c>
      <c r="C25" s="189"/>
      <c r="D25" s="189"/>
      <c r="E25" s="189"/>
      <c r="F25" s="189"/>
      <c r="G25" s="149">
        <v>10060.35</v>
      </c>
      <c r="H25"/>
      <c r="I25" s="142"/>
      <c r="J25" s="189" t="s">
        <v>41</v>
      </c>
      <c r="K25" s="189"/>
      <c r="L25" s="189"/>
      <c r="M25" s="189"/>
      <c r="N25" s="189"/>
      <c r="O25" s="149">
        <v>1321.2</v>
      </c>
      <c r="P25"/>
    </row>
    <row r="26" spans="1:16" ht="35.1" customHeight="1" x14ac:dyDescent="0.25">
      <c r="E26"/>
      <c r="G26"/>
      <c r="M26"/>
      <c r="O26"/>
    </row>
    <row r="27" spans="1:16" ht="30" customHeight="1" x14ac:dyDescent="0.25">
      <c r="A27" s="190" t="s">
        <v>75</v>
      </c>
      <c r="B27" s="188"/>
      <c r="C27" s="148">
        <v>3</v>
      </c>
      <c r="D27" s="133" t="s">
        <v>76</v>
      </c>
      <c r="E27" s="150">
        <v>45977</v>
      </c>
      <c r="F27" s="133" t="s">
        <v>77</v>
      </c>
      <c r="G27" s="150">
        <v>45991</v>
      </c>
      <c r="I27" s="190" t="s">
        <v>75</v>
      </c>
      <c r="J27" s="188"/>
      <c r="K27" s="148">
        <v>4</v>
      </c>
      <c r="L27" s="133" t="s">
        <v>76</v>
      </c>
      <c r="M27" s="150">
        <v>45977</v>
      </c>
      <c r="N27" s="133" t="s">
        <v>77</v>
      </c>
      <c r="O27" s="150">
        <v>45991</v>
      </c>
    </row>
    <row r="28" spans="1:16" s="34" customFormat="1" ht="30" customHeight="1" x14ac:dyDescent="0.25">
      <c r="A28" s="190" t="s">
        <v>78</v>
      </c>
      <c r="B28" s="188"/>
      <c r="C28" s="191" t="s">
        <v>4</v>
      </c>
      <c r="D28" s="191"/>
      <c r="E28" s="191"/>
      <c r="F28" s="191"/>
      <c r="G28" s="191"/>
      <c r="H28"/>
      <c r="I28" s="190" t="s">
        <v>78</v>
      </c>
      <c r="J28" s="188"/>
      <c r="K28" s="191" t="s">
        <v>5</v>
      </c>
      <c r="L28" s="191"/>
      <c r="M28" s="191"/>
      <c r="N28" s="191"/>
      <c r="O28" s="191"/>
      <c r="P28"/>
    </row>
    <row r="29" spans="1:16" ht="18" customHeight="1" x14ac:dyDescent="0.3">
      <c r="A29" s="192" t="s">
        <v>28</v>
      </c>
      <c r="B29" s="193" t="s">
        <v>29</v>
      </c>
      <c r="C29" s="193"/>
      <c r="D29" s="193"/>
      <c r="E29" s="193" t="s">
        <v>30</v>
      </c>
      <c r="F29" s="193"/>
      <c r="G29" s="193"/>
      <c r="I29" s="192" t="s">
        <v>28</v>
      </c>
      <c r="J29" s="193" t="s">
        <v>29</v>
      </c>
      <c r="K29" s="193"/>
      <c r="L29" s="193"/>
      <c r="M29" s="193" t="s">
        <v>30</v>
      </c>
      <c r="N29" s="193"/>
      <c r="O29" s="193"/>
    </row>
    <row r="30" spans="1:16" ht="30" customHeight="1" x14ac:dyDescent="0.25">
      <c r="A30" s="192"/>
      <c r="B30" s="136" t="s">
        <v>33</v>
      </c>
      <c r="C30" s="136" t="s">
        <v>32</v>
      </c>
      <c r="D30" s="136" t="s">
        <v>31</v>
      </c>
      <c r="E30" s="136" t="s">
        <v>33</v>
      </c>
      <c r="F30" s="136" t="s">
        <v>32</v>
      </c>
      <c r="G30" s="136" t="s">
        <v>31</v>
      </c>
      <c r="I30" s="192"/>
      <c r="J30" s="136" t="s">
        <v>33</v>
      </c>
      <c r="K30" s="136" t="s">
        <v>32</v>
      </c>
      <c r="L30" s="136" t="s">
        <v>31</v>
      </c>
      <c r="M30" s="136" t="s">
        <v>33</v>
      </c>
      <c r="N30" s="136" t="s">
        <v>32</v>
      </c>
      <c r="O30" s="136" t="s">
        <v>31</v>
      </c>
    </row>
    <row r="31" spans="1:16" ht="15" customHeight="1" x14ac:dyDescent="0.25">
      <c r="A31" s="138">
        <v>45977</v>
      </c>
      <c r="B31" s="139">
        <v>5.9</v>
      </c>
      <c r="C31" s="139">
        <v>7</v>
      </c>
      <c r="D31" s="140">
        <v>309.75</v>
      </c>
      <c r="E31" s="139">
        <v>3.6</v>
      </c>
      <c r="F31" s="139">
        <v>6.4</v>
      </c>
      <c r="G31" s="140">
        <v>172.8</v>
      </c>
      <c r="I31" s="138">
        <v>45977</v>
      </c>
      <c r="J31" s="139">
        <v>15.8</v>
      </c>
      <c r="K31" s="139">
        <v>6.8</v>
      </c>
      <c r="L31" s="140">
        <v>805.80000000000007</v>
      </c>
      <c r="M31" s="139">
        <v>14.5</v>
      </c>
      <c r="N31" s="139">
        <v>6.2</v>
      </c>
      <c r="O31" s="140">
        <v>674.25</v>
      </c>
    </row>
    <row r="32" spans="1:16" ht="15" customHeight="1" x14ac:dyDescent="0.25">
      <c r="A32" s="138">
        <v>45978</v>
      </c>
      <c r="B32" s="139">
        <v>5</v>
      </c>
      <c r="C32" s="139">
        <v>7.9</v>
      </c>
      <c r="D32" s="140">
        <v>296.25</v>
      </c>
      <c r="E32" s="139">
        <v>4</v>
      </c>
      <c r="F32" s="139">
        <v>6.4</v>
      </c>
      <c r="G32" s="140">
        <v>192</v>
      </c>
      <c r="I32" s="138">
        <v>45978</v>
      </c>
      <c r="J32" s="139">
        <v>16.100000000000001</v>
      </c>
      <c r="K32" s="139">
        <v>6.6</v>
      </c>
      <c r="L32" s="140">
        <v>796.95</v>
      </c>
      <c r="M32" s="139">
        <v>14.3</v>
      </c>
      <c r="N32" s="139">
        <v>6</v>
      </c>
      <c r="O32" s="140">
        <v>643.5</v>
      </c>
    </row>
    <row r="33" spans="1:15" ht="15" customHeight="1" x14ac:dyDescent="0.25">
      <c r="A33" s="138">
        <v>45979</v>
      </c>
      <c r="B33" s="139">
        <v>5.3</v>
      </c>
      <c r="C33" s="139">
        <v>7.4</v>
      </c>
      <c r="D33" s="140">
        <v>294.14999999999998</v>
      </c>
      <c r="E33" s="139">
        <v>3.9</v>
      </c>
      <c r="F33" s="139">
        <v>6.7</v>
      </c>
      <c r="G33" s="140">
        <v>195.97499999999999</v>
      </c>
      <c r="I33" s="138">
        <v>45979</v>
      </c>
      <c r="J33" s="139">
        <v>15.6</v>
      </c>
      <c r="K33" s="139">
        <v>6.6</v>
      </c>
      <c r="L33" s="140">
        <v>772.19999999999993</v>
      </c>
      <c r="M33" s="139">
        <v>14</v>
      </c>
      <c r="N33" s="139">
        <v>6.4</v>
      </c>
      <c r="O33" s="140">
        <v>672</v>
      </c>
    </row>
    <row r="34" spans="1:15" ht="15" customHeight="1" x14ac:dyDescent="0.25">
      <c r="A34" s="138">
        <v>45980</v>
      </c>
      <c r="B34" s="139">
        <v>5</v>
      </c>
      <c r="C34" s="139">
        <v>7.5</v>
      </c>
      <c r="D34" s="140">
        <v>281.25</v>
      </c>
      <c r="E34" s="139">
        <v>4.0999999999999996</v>
      </c>
      <c r="F34" s="139">
        <v>6.2</v>
      </c>
      <c r="G34" s="140">
        <v>190.64999999999998</v>
      </c>
      <c r="I34" s="138">
        <v>45980</v>
      </c>
      <c r="J34" s="139">
        <v>15.7</v>
      </c>
      <c r="K34" s="139">
        <v>6.5</v>
      </c>
      <c r="L34" s="140">
        <v>765.375</v>
      </c>
      <c r="M34" s="139">
        <v>15.3</v>
      </c>
      <c r="N34" s="139">
        <v>6.2</v>
      </c>
      <c r="O34" s="140">
        <v>711.45</v>
      </c>
    </row>
    <row r="35" spans="1:15" ht="15" customHeight="1" x14ac:dyDescent="0.25">
      <c r="A35" s="138">
        <v>45981</v>
      </c>
      <c r="B35" s="139">
        <v>5.2</v>
      </c>
      <c r="C35" s="139">
        <v>7.2</v>
      </c>
      <c r="D35" s="140">
        <v>280.8</v>
      </c>
      <c r="E35" s="139">
        <v>4.2</v>
      </c>
      <c r="F35" s="139">
        <v>6.5</v>
      </c>
      <c r="G35" s="140">
        <v>204.75</v>
      </c>
      <c r="I35" s="138">
        <v>45981</v>
      </c>
      <c r="J35" s="139">
        <v>14.4</v>
      </c>
      <c r="K35" s="139">
        <v>6.8</v>
      </c>
      <c r="L35" s="140">
        <v>734.4</v>
      </c>
      <c r="M35" s="139">
        <v>13.2</v>
      </c>
      <c r="N35" s="139">
        <v>6</v>
      </c>
      <c r="O35" s="140">
        <v>594</v>
      </c>
    </row>
    <row r="36" spans="1:15" ht="15" customHeight="1" x14ac:dyDescent="0.25">
      <c r="A36" s="138">
        <v>45982</v>
      </c>
      <c r="B36" s="139">
        <v>5.0999999999999996</v>
      </c>
      <c r="C36" s="139">
        <v>7.6</v>
      </c>
      <c r="D36" s="140">
        <v>290.7</v>
      </c>
      <c r="E36" s="139">
        <v>3.9</v>
      </c>
      <c r="F36" s="139">
        <v>6.7</v>
      </c>
      <c r="G36" s="140">
        <v>195.97499999999999</v>
      </c>
      <c r="I36" s="138">
        <v>45982</v>
      </c>
      <c r="J36" s="139">
        <v>15.6</v>
      </c>
      <c r="K36" s="139">
        <v>6.7</v>
      </c>
      <c r="L36" s="140">
        <v>783.9</v>
      </c>
      <c r="M36" s="139">
        <v>13.8</v>
      </c>
      <c r="N36" s="139">
        <v>6</v>
      </c>
      <c r="O36" s="140">
        <v>621</v>
      </c>
    </row>
    <row r="37" spans="1:15" ht="15" customHeight="1" x14ac:dyDescent="0.25">
      <c r="A37" s="138">
        <v>45983</v>
      </c>
      <c r="B37" s="139">
        <v>4.4000000000000004</v>
      </c>
      <c r="C37" s="139">
        <v>6.8</v>
      </c>
      <c r="D37" s="140">
        <v>224.4</v>
      </c>
      <c r="E37" s="139">
        <v>3.6</v>
      </c>
      <c r="F37" s="139">
        <v>6.2</v>
      </c>
      <c r="G37" s="140">
        <v>167.4</v>
      </c>
      <c r="I37" s="138">
        <v>45983</v>
      </c>
      <c r="J37" s="139">
        <v>15.6</v>
      </c>
      <c r="K37" s="139">
        <v>6.5</v>
      </c>
      <c r="L37" s="140">
        <v>760.5</v>
      </c>
      <c r="M37" s="139">
        <v>13</v>
      </c>
      <c r="N37" s="139">
        <v>6.2</v>
      </c>
      <c r="O37" s="140">
        <v>604.5</v>
      </c>
    </row>
    <row r="38" spans="1:15" ht="15" customHeight="1" x14ac:dyDescent="0.25">
      <c r="A38" s="138">
        <v>45984</v>
      </c>
      <c r="B38" s="139">
        <v>4.3</v>
      </c>
      <c r="C38" s="139">
        <v>8</v>
      </c>
      <c r="D38" s="140">
        <v>258</v>
      </c>
      <c r="E38" s="139">
        <v>3.4</v>
      </c>
      <c r="F38" s="139">
        <v>7.1</v>
      </c>
      <c r="G38" s="140">
        <v>181.04999999999998</v>
      </c>
      <c r="I38" s="138">
        <v>45984</v>
      </c>
      <c r="J38" s="139">
        <v>15.1</v>
      </c>
      <c r="K38" s="139">
        <v>7</v>
      </c>
      <c r="L38" s="140">
        <v>792.75</v>
      </c>
      <c r="M38" s="139">
        <v>12.6</v>
      </c>
      <c r="N38" s="139">
        <v>6.2</v>
      </c>
      <c r="O38" s="140">
        <v>585.9</v>
      </c>
    </row>
    <row r="39" spans="1:15" ht="15" customHeight="1" x14ac:dyDescent="0.25">
      <c r="A39" s="138">
        <v>45985</v>
      </c>
      <c r="B39" s="139">
        <v>4.4000000000000004</v>
      </c>
      <c r="C39" s="139">
        <v>7.8</v>
      </c>
      <c r="D39" s="140">
        <v>257.40000000000003</v>
      </c>
      <c r="E39" s="139">
        <v>3.4</v>
      </c>
      <c r="F39" s="139">
        <v>6</v>
      </c>
      <c r="G39" s="140">
        <v>153</v>
      </c>
      <c r="I39" s="138">
        <v>45985</v>
      </c>
      <c r="J39" s="139">
        <v>14.1</v>
      </c>
      <c r="K39" s="139">
        <v>6.8</v>
      </c>
      <c r="L39" s="140">
        <v>719.1</v>
      </c>
      <c r="M39" s="139">
        <v>13.7</v>
      </c>
      <c r="N39" s="139">
        <v>6.2</v>
      </c>
      <c r="O39" s="140">
        <v>637.04999999999995</v>
      </c>
    </row>
    <row r="40" spans="1:15" ht="15" customHeight="1" x14ac:dyDescent="0.25">
      <c r="A40" s="138">
        <v>45986</v>
      </c>
      <c r="B40" s="139">
        <v>4.9000000000000004</v>
      </c>
      <c r="C40" s="139">
        <v>7.5</v>
      </c>
      <c r="D40" s="140">
        <v>275.625</v>
      </c>
      <c r="E40" s="139">
        <v>3.4</v>
      </c>
      <c r="F40" s="139">
        <v>6.3</v>
      </c>
      <c r="G40" s="140">
        <v>160.65</v>
      </c>
      <c r="I40" s="138">
        <v>45986</v>
      </c>
      <c r="J40" s="139">
        <v>13.7</v>
      </c>
      <c r="K40" s="139">
        <v>6.4</v>
      </c>
      <c r="L40" s="140">
        <v>657.59999999999991</v>
      </c>
      <c r="M40" s="139">
        <v>14.5</v>
      </c>
      <c r="N40" s="139">
        <v>6</v>
      </c>
      <c r="O40" s="140">
        <v>652.5</v>
      </c>
    </row>
    <row r="41" spans="1:15" ht="15" customHeight="1" x14ac:dyDescent="0.25">
      <c r="A41" s="138">
        <v>45987</v>
      </c>
      <c r="B41" s="139">
        <v>5</v>
      </c>
      <c r="C41" s="139">
        <v>7.3</v>
      </c>
      <c r="D41" s="140">
        <v>273.75</v>
      </c>
      <c r="E41" s="139">
        <v>4.0999999999999996</v>
      </c>
      <c r="F41" s="139">
        <v>6.8</v>
      </c>
      <c r="G41" s="140">
        <v>209.1</v>
      </c>
      <c r="I41" s="138">
        <v>45987</v>
      </c>
      <c r="J41" s="139">
        <v>15.7</v>
      </c>
      <c r="K41" s="139">
        <v>6.5</v>
      </c>
      <c r="L41" s="140">
        <v>765.375</v>
      </c>
      <c r="M41" s="139">
        <v>14.1</v>
      </c>
      <c r="N41" s="139">
        <v>6.1</v>
      </c>
      <c r="O41" s="140">
        <v>645.07499999999993</v>
      </c>
    </row>
    <row r="42" spans="1:15" ht="15" customHeight="1" x14ac:dyDescent="0.25">
      <c r="A42" s="138">
        <v>45988</v>
      </c>
      <c r="B42" s="139">
        <v>4.9000000000000004</v>
      </c>
      <c r="C42" s="139">
        <v>7.4</v>
      </c>
      <c r="D42" s="140">
        <v>271.95000000000005</v>
      </c>
      <c r="E42" s="139">
        <v>3.7</v>
      </c>
      <c r="F42" s="139">
        <v>7</v>
      </c>
      <c r="G42" s="140">
        <v>194.25</v>
      </c>
      <c r="I42" s="138">
        <v>45988</v>
      </c>
      <c r="J42" s="139">
        <v>15</v>
      </c>
      <c r="K42" s="139">
        <v>6.8</v>
      </c>
      <c r="L42" s="140">
        <v>765</v>
      </c>
      <c r="M42" s="139">
        <v>13.9</v>
      </c>
      <c r="N42" s="139">
        <v>6.4</v>
      </c>
      <c r="O42" s="140">
        <v>667.2</v>
      </c>
    </row>
    <row r="43" spans="1:15" ht="15" customHeight="1" x14ac:dyDescent="0.25">
      <c r="A43" s="138">
        <v>45989</v>
      </c>
      <c r="B43" s="139">
        <v>4.9000000000000004</v>
      </c>
      <c r="C43" s="139">
        <v>7</v>
      </c>
      <c r="D43" s="140">
        <v>257.25</v>
      </c>
      <c r="E43" s="139">
        <v>3.6</v>
      </c>
      <c r="F43" s="139">
        <v>6.5</v>
      </c>
      <c r="G43" s="140">
        <v>175.5</v>
      </c>
      <c r="I43" s="138">
        <v>45989</v>
      </c>
      <c r="J43" s="139">
        <v>15.7</v>
      </c>
      <c r="K43" s="139">
        <v>6.6</v>
      </c>
      <c r="L43" s="140">
        <v>777.15</v>
      </c>
      <c r="M43" s="139">
        <v>14.8</v>
      </c>
      <c r="N43" s="139">
        <v>6.1</v>
      </c>
      <c r="O43" s="140">
        <v>677.1</v>
      </c>
    </row>
    <row r="44" spans="1:15" ht="15" customHeight="1" x14ac:dyDescent="0.25">
      <c r="A44" s="138">
        <v>45990</v>
      </c>
      <c r="B44" s="139">
        <v>5.2</v>
      </c>
      <c r="C44" s="139">
        <v>7.2</v>
      </c>
      <c r="D44" s="140">
        <v>280.8</v>
      </c>
      <c r="E44" s="139">
        <v>3.9</v>
      </c>
      <c r="F44" s="139">
        <v>7</v>
      </c>
      <c r="G44" s="140">
        <v>204.75</v>
      </c>
      <c r="I44" s="138">
        <v>45990</v>
      </c>
      <c r="J44" s="139">
        <v>14.4</v>
      </c>
      <c r="K44" s="139">
        <v>6.8</v>
      </c>
      <c r="L44" s="140">
        <v>734.4</v>
      </c>
      <c r="M44" s="139">
        <v>12.7</v>
      </c>
      <c r="N44" s="139">
        <v>6.4</v>
      </c>
      <c r="O44" s="140">
        <v>609.59999999999991</v>
      </c>
    </row>
    <row r="45" spans="1:15" ht="15" customHeight="1" x14ac:dyDescent="0.25">
      <c r="A45" s="138">
        <v>45991</v>
      </c>
      <c r="B45" s="139">
        <v>4.9000000000000004</v>
      </c>
      <c r="C45" s="139">
        <v>7</v>
      </c>
      <c r="D45" s="140">
        <v>257.25</v>
      </c>
      <c r="E45" s="139">
        <v>3.9</v>
      </c>
      <c r="F45" s="139">
        <v>6.2</v>
      </c>
      <c r="G45" s="140">
        <v>181.35</v>
      </c>
      <c r="I45" s="138">
        <v>45991</v>
      </c>
      <c r="J45" s="139">
        <v>12.8</v>
      </c>
      <c r="K45" s="139">
        <v>6.5</v>
      </c>
      <c r="L45" s="140">
        <v>624</v>
      </c>
      <c r="M45" s="139">
        <v>12.7</v>
      </c>
      <c r="N45" s="139">
        <v>6.4</v>
      </c>
      <c r="O45" s="140">
        <v>609.59999999999991</v>
      </c>
    </row>
    <row r="46" spans="1:15" ht="15" customHeight="1" x14ac:dyDescent="0.25">
      <c r="A46" s="138"/>
      <c r="B46" s="139"/>
      <c r="C46" s="139"/>
      <c r="D46" s="140"/>
      <c r="E46" s="139"/>
      <c r="F46" s="139"/>
      <c r="G46" s="140"/>
      <c r="I46" s="138"/>
      <c r="J46" s="139"/>
      <c r="K46" s="139"/>
      <c r="L46" s="140"/>
      <c r="M46" s="139"/>
      <c r="N46" s="139"/>
      <c r="O46" s="140"/>
    </row>
    <row r="47" spans="1:15" ht="2.25" customHeight="1" x14ac:dyDescent="0.25">
      <c r="A47" s="141"/>
      <c r="B47" s="142"/>
      <c r="C47" s="142"/>
      <c r="D47" s="142"/>
      <c r="E47" s="142"/>
      <c r="F47" s="142"/>
      <c r="G47" s="142"/>
      <c r="I47" s="141"/>
      <c r="J47" s="142"/>
      <c r="K47" s="142"/>
      <c r="L47" s="142"/>
      <c r="M47" s="142"/>
      <c r="N47" s="142"/>
      <c r="O47" s="142"/>
    </row>
    <row r="48" spans="1:15" ht="15" customHeight="1" x14ac:dyDescent="0.25">
      <c r="A48" s="142"/>
      <c r="B48" s="188" t="s">
        <v>39</v>
      </c>
      <c r="C48" s="188"/>
      <c r="D48" s="188"/>
      <c r="E48" s="188"/>
      <c r="F48" s="188"/>
      <c r="G48" s="145">
        <v>131.10000000000002</v>
      </c>
      <c r="I48" s="142"/>
      <c r="J48" s="188" t="s">
        <v>39</v>
      </c>
      <c r="K48" s="188"/>
      <c r="L48" s="188"/>
      <c r="M48" s="188"/>
      <c r="N48" s="188"/>
      <c r="O48" s="145">
        <v>432.4</v>
      </c>
    </row>
    <row r="49" spans="1:17" ht="15" customHeight="1" x14ac:dyDescent="0.25">
      <c r="A49" s="142"/>
      <c r="B49" s="188" t="s">
        <v>40</v>
      </c>
      <c r="C49" s="188"/>
      <c r="D49" s="188"/>
      <c r="E49" s="188"/>
      <c r="F49" s="188"/>
      <c r="G49" s="146">
        <v>6888.5250000000005</v>
      </c>
      <c r="I49" s="142"/>
      <c r="J49" s="188" t="s">
        <v>40</v>
      </c>
      <c r="K49" s="188"/>
      <c r="L49" s="188"/>
      <c r="M49" s="188"/>
      <c r="N49" s="188"/>
      <c r="O49" s="146">
        <v>20859.224999999999</v>
      </c>
    </row>
    <row r="50" spans="1:17" ht="15" customHeight="1" x14ac:dyDescent="0.25">
      <c r="A50" s="142"/>
      <c r="B50" s="188" t="s">
        <v>46</v>
      </c>
      <c r="C50" s="188"/>
      <c r="D50" s="188"/>
      <c r="E50" s="188"/>
      <c r="F50" s="188"/>
      <c r="G50" s="147">
        <v>0</v>
      </c>
      <c r="I50" s="142"/>
      <c r="J50" s="188" t="s">
        <v>46</v>
      </c>
      <c r="K50" s="188"/>
      <c r="L50" s="188"/>
      <c r="M50" s="188"/>
      <c r="N50" s="188"/>
      <c r="O50" s="147">
        <v>0</v>
      </c>
    </row>
    <row r="51" spans="1:17" ht="30" customHeight="1" x14ac:dyDescent="0.25">
      <c r="A51" s="142"/>
      <c r="B51" s="189" t="s">
        <v>41</v>
      </c>
      <c r="C51" s="189"/>
      <c r="D51" s="189"/>
      <c r="E51" s="189"/>
      <c r="F51" s="189"/>
      <c r="G51" s="149">
        <v>6888.5250000000005</v>
      </c>
      <c r="I51" s="142"/>
      <c r="J51" s="189" t="s">
        <v>41</v>
      </c>
      <c r="K51" s="189"/>
      <c r="L51" s="189"/>
      <c r="M51" s="189"/>
      <c r="N51" s="189"/>
      <c r="O51" s="149">
        <v>20859.224999999999</v>
      </c>
    </row>
    <row r="52" spans="1:17" ht="7.5" customHeight="1" x14ac:dyDescent="0.25">
      <c r="E52"/>
      <c r="G52"/>
      <c r="M52"/>
      <c r="O52"/>
      <c r="Q52" s="45"/>
    </row>
    <row r="53" spans="1:17" ht="7.5" customHeight="1" x14ac:dyDescent="0.25">
      <c r="E53"/>
      <c r="G53"/>
      <c r="M53"/>
      <c r="O53"/>
    </row>
    <row r="54" spans="1:17" ht="30" customHeight="1" x14ac:dyDescent="0.25">
      <c r="A54" s="190" t="s">
        <v>75</v>
      </c>
      <c r="B54" s="188"/>
      <c r="C54" s="148">
        <v>5</v>
      </c>
      <c r="D54" s="133" t="s">
        <v>76</v>
      </c>
      <c r="E54" s="150">
        <v>45977</v>
      </c>
      <c r="F54" s="133" t="s">
        <v>77</v>
      </c>
      <c r="G54" s="150">
        <v>45991</v>
      </c>
      <c r="I54" s="190" t="s">
        <v>75</v>
      </c>
      <c r="J54" s="188"/>
      <c r="K54" s="148">
        <v>6</v>
      </c>
      <c r="L54" s="133" t="s">
        <v>76</v>
      </c>
      <c r="M54" s="150">
        <v>45977</v>
      </c>
      <c r="N54" s="133" t="s">
        <v>77</v>
      </c>
      <c r="O54" s="150">
        <v>45991</v>
      </c>
    </row>
    <row r="55" spans="1:17" ht="30" customHeight="1" x14ac:dyDescent="0.25">
      <c r="A55" s="190" t="s">
        <v>78</v>
      </c>
      <c r="B55" s="188"/>
      <c r="C55" s="191" t="s">
        <v>6</v>
      </c>
      <c r="D55" s="191"/>
      <c r="E55" s="191"/>
      <c r="F55" s="191"/>
      <c r="G55" s="191"/>
      <c r="I55" s="190" t="s">
        <v>78</v>
      </c>
      <c r="J55" s="188"/>
      <c r="K55" s="191" t="s">
        <v>7</v>
      </c>
      <c r="L55" s="191"/>
      <c r="M55" s="191"/>
      <c r="N55" s="191"/>
      <c r="O55" s="191"/>
    </row>
    <row r="56" spans="1:17" ht="18" customHeight="1" x14ac:dyDescent="0.3">
      <c r="A56" s="192" t="s">
        <v>28</v>
      </c>
      <c r="B56" s="193" t="s">
        <v>29</v>
      </c>
      <c r="C56" s="193"/>
      <c r="D56" s="193"/>
      <c r="E56" s="193" t="s">
        <v>30</v>
      </c>
      <c r="F56" s="193"/>
      <c r="G56" s="193"/>
      <c r="I56" s="192" t="s">
        <v>28</v>
      </c>
      <c r="J56" s="193" t="s">
        <v>29</v>
      </c>
      <c r="K56" s="193"/>
      <c r="L56" s="193"/>
      <c r="M56" s="193" t="s">
        <v>30</v>
      </c>
      <c r="N56" s="193"/>
      <c r="O56" s="193"/>
    </row>
    <row r="57" spans="1:17" ht="30" customHeight="1" x14ac:dyDescent="0.25">
      <c r="A57" s="192"/>
      <c r="B57" s="136" t="s">
        <v>33</v>
      </c>
      <c r="C57" s="136" t="s">
        <v>32</v>
      </c>
      <c r="D57" s="136" t="s">
        <v>31</v>
      </c>
      <c r="E57" s="136" t="s">
        <v>33</v>
      </c>
      <c r="F57" s="136" t="s">
        <v>32</v>
      </c>
      <c r="G57" s="136" t="s">
        <v>31</v>
      </c>
      <c r="I57" s="192"/>
      <c r="J57" s="136" t="s">
        <v>33</v>
      </c>
      <c r="K57" s="136" t="s">
        <v>32</v>
      </c>
      <c r="L57" s="136" t="s">
        <v>31</v>
      </c>
      <c r="M57" s="136" t="s">
        <v>33</v>
      </c>
      <c r="N57" s="136" t="s">
        <v>32</v>
      </c>
      <c r="O57" s="136" t="s">
        <v>31</v>
      </c>
    </row>
    <row r="58" spans="1:17" ht="15" customHeight="1" x14ac:dyDescent="0.25">
      <c r="A58" s="138">
        <v>45977</v>
      </c>
      <c r="B58" s="139">
        <v>2</v>
      </c>
      <c r="C58" s="139">
        <v>10</v>
      </c>
      <c r="D58" s="140">
        <v>150</v>
      </c>
      <c r="E58" s="139"/>
      <c r="F58" s="139"/>
      <c r="G58" s="140"/>
      <c r="I58" s="138">
        <v>45977</v>
      </c>
      <c r="J58" s="139">
        <v>13.6</v>
      </c>
      <c r="K58" s="139">
        <v>7.4</v>
      </c>
      <c r="L58" s="140">
        <v>754.8</v>
      </c>
      <c r="M58" s="139">
        <v>7.1</v>
      </c>
      <c r="N58" s="139">
        <v>6.2</v>
      </c>
      <c r="O58" s="140">
        <v>330.15</v>
      </c>
    </row>
    <row r="59" spans="1:17" ht="15" customHeight="1" x14ac:dyDescent="0.25">
      <c r="A59" s="138">
        <v>45978</v>
      </c>
      <c r="B59" s="139">
        <v>1.7</v>
      </c>
      <c r="C59" s="139">
        <v>10</v>
      </c>
      <c r="D59" s="140">
        <v>127.5</v>
      </c>
      <c r="E59" s="139"/>
      <c r="F59" s="139"/>
      <c r="G59" s="140"/>
      <c r="I59" s="138">
        <v>45978</v>
      </c>
      <c r="J59" s="139">
        <v>12.4</v>
      </c>
      <c r="K59" s="139">
        <v>7.4</v>
      </c>
      <c r="L59" s="140">
        <v>688.2</v>
      </c>
      <c r="M59" s="139">
        <v>6.9</v>
      </c>
      <c r="N59" s="139">
        <v>6</v>
      </c>
      <c r="O59" s="140">
        <v>310.5</v>
      </c>
    </row>
    <row r="60" spans="1:17" ht="15" customHeight="1" x14ac:dyDescent="0.25">
      <c r="A60" s="138">
        <v>45979</v>
      </c>
      <c r="B60" s="139">
        <v>2.2000000000000002</v>
      </c>
      <c r="C60" s="139">
        <v>10</v>
      </c>
      <c r="D60" s="140">
        <v>165</v>
      </c>
      <c r="E60" s="139"/>
      <c r="F60" s="139"/>
      <c r="G60" s="140"/>
      <c r="I60" s="138">
        <v>45979</v>
      </c>
      <c r="J60" s="139">
        <v>12.6</v>
      </c>
      <c r="K60" s="139">
        <v>7.3</v>
      </c>
      <c r="L60" s="140">
        <v>689.85</v>
      </c>
      <c r="M60" s="139">
        <v>7.2</v>
      </c>
      <c r="N60" s="139">
        <v>6.2</v>
      </c>
      <c r="O60" s="140">
        <v>334.8</v>
      </c>
    </row>
    <row r="61" spans="1:17" ht="15" customHeight="1" x14ac:dyDescent="0.25">
      <c r="A61" s="138">
        <v>45980</v>
      </c>
      <c r="B61" s="139">
        <v>1.9</v>
      </c>
      <c r="C61" s="139">
        <v>10</v>
      </c>
      <c r="D61" s="140">
        <v>142.5</v>
      </c>
      <c r="E61" s="139"/>
      <c r="F61" s="139"/>
      <c r="G61" s="140"/>
      <c r="I61" s="138">
        <v>45980</v>
      </c>
      <c r="J61" s="139">
        <v>12.8</v>
      </c>
      <c r="K61" s="139">
        <v>7.3</v>
      </c>
      <c r="L61" s="140">
        <v>700.80000000000007</v>
      </c>
      <c r="M61" s="139">
        <v>7.7</v>
      </c>
      <c r="N61" s="139">
        <v>6</v>
      </c>
      <c r="O61" s="140">
        <v>346.5</v>
      </c>
    </row>
    <row r="62" spans="1:17" ht="15" customHeight="1" x14ac:dyDescent="0.25">
      <c r="A62" s="138">
        <v>45981</v>
      </c>
      <c r="B62" s="139">
        <v>1.9</v>
      </c>
      <c r="C62" s="139">
        <v>10</v>
      </c>
      <c r="D62" s="140">
        <v>142.5</v>
      </c>
      <c r="E62" s="139"/>
      <c r="F62" s="139"/>
      <c r="G62" s="140"/>
      <c r="I62" s="138">
        <v>45981</v>
      </c>
      <c r="J62" s="139">
        <v>12.8</v>
      </c>
      <c r="K62" s="139">
        <v>7.4</v>
      </c>
      <c r="L62" s="140">
        <v>710.40000000000009</v>
      </c>
      <c r="M62" s="139">
        <v>7.4</v>
      </c>
      <c r="N62" s="139">
        <v>5.8</v>
      </c>
      <c r="O62" s="140">
        <v>321.90000000000003</v>
      </c>
    </row>
    <row r="63" spans="1:17" ht="15" customHeight="1" x14ac:dyDescent="0.25">
      <c r="A63" s="138">
        <v>45982</v>
      </c>
      <c r="B63" s="139">
        <v>2.1</v>
      </c>
      <c r="C63" s="139">
        <v>10</v>
      </c>
      <c r="D63" s="140">
        <v>157.5</v>
      </c>
      <c r="E63" s="139"/>
      <c r="F63" s="139"/>
      <c r="G63" s="140"/>
      <c r="I63" s="138">
        <v>45982</v>
      </c>
      <c r="J63" s="139">
        <v>13.1</v>
      </c>
      <c r="K63" s="139">
        <v>7.2</v>
      </c>
      <c r="L63" s="140">
        <v>707.4</v>
      </c>
      <c r="M63" s="139">
        <v>7.1</v>
      </c>
      <c r="N63" s="139">
        <v>6.2</v>
      </c>
      <c r="O63" s="140">
        <v>330.15</v>
      </c>
    </row>
    <row r="64" spans="1:17" ht="15" customHeight="1" x14ac:dyDescent="0.25">
      <c r="A64" s="138">
        <v>45983</v>
      </c>
      <c r="B64" s="139">
        <v>2.1</v>
      </c>
      <c r="C64" s="139">
        <v>10</v>
      </c>
      <c r="D64" s="140">
        <v>157.5</v>
      </c>
      <c r="E64" s="139"/>
      <c r="F64" s="139"/>
      <c r="G64" s="140"/>
      <c r="I64" s="138">
        <v>45983</v>
      </c>
      <c r="J64" s="139">
        <v>12.1</v>
      </c>
      <c r="K64" s="139">
        <v>7.5</v>
      </c>
      <c r="L64" s="140">
        <v>680.625</v>
      </c>
      <c r="M64" s="139">
        <v>7</v>
      </c>
      <c r="N64" s="139">
        <v>6</v>
      </c>
      <c r="O64" s="140">
        <v>315</v>
      </c>
    </row>
    <row r="65" spans="1:15" ht="15" customHeight="1" x14ac:dyDescent="0.25">
      <c r="A65" s="138">
        <v>45984</v>
      </c>
      <c r="B65" s="139">
        <v>1.4</v>
      </c>
      <c r="C65" s="139">
        <v>10</v>
      </c>
      <c r="D65" s="140">
        <v>105</v>
      </c>
      <c r="E65" s="139"/>
      <c r="F65" s="139"/>
      <c r="G65" s="140"/>
      <c r="I65" s="138">
        <v>45984</v>
      </c>
      <c r="J65" s="139">
        <v>11.9</v>
      </c>
      <c r="K65" s="139">
        <v>7.5</v>
      </c>
      <c r="L65" s="140">
        <v>669.375</v>
      </c>
      <c r="M65" s="139">
        <v>6.9</v>
      </c>
      <c r="N65" s="139">
        <v>6</v>
      </c>
      <c r="O65" s="140">
        <v>310.5</v>
      </c>
    </row>
    <row r="66" spans="1:15" ht="15" customHeight="1" x14ac:dyDescent="0.25">
      <c r="A66" s="138">
        <v>45985</v>
      </c>
      <c r="B66" s="139">
        <v>1.8</v>
      </c>
      <c r="C66" s="139">
        <v>10</v>
      </c>
      <c r="D66" s="140">
        <v>135</v>
      </c>
      <c r="E66" s="139"/>
      <c r="F66" s="139"/>
      <c r="G66" s="140"/>
      <c r="I66" s="138">
        <v>45985</v>
      </c>
      <c r="J66" s="139">
        <v>11.5</v>
      </c>
      <c r="K66" s="139">
        <v>7.1</v>
      </c>
      <c r="L66" s="140">
        <v>612.375</v>
      </c>
      <c r="M66" s="139">
        <v>6.6</v>
      </c>
      <c r="N66" s="139">
        <v>6</v>
      </c>
      <c r="O66" s="140">
        <v>297</v>
      </c>
    </row>
    <row r="67" spans="1:15" ht="15" customHeight="1" x14ac:dyDescent="0.25">
      <c r="A67" s="138">
        <v>45986</v>
      </c>
      <c r="B67" s="139">
        <v>1.8</v>
      </c>
      <c r="C67" s="139">
        <v>10</v>
      </c>
      <c r="D67" s="140">
        <v>135</v>
      </c>
      <c r="E67" s="139"/>
      <c r="F67" s="139"/>
      <c r="G67" s="140"/>
      <c r="I67" s="138">
        <v>45986</v>
      </c>
      <c r="J67" s="139">
        <v>12</v>
      </c>
      <c r="K67" s="139">
        <v>7.2</v>
      </c>
      <c r="L67" s="140">
        <v>648</v>
      </c>
      <c r="M67" s="139">
        <v>6.2</v>
      </c>
      <c r="N67" s="139">
        <v>6</v>
      </c>
      <c r="O67" s="140">
        <v>279</v>
      </c>
    </row>
    <row r="68" spans="1:15" ht="15" customHeight="1" x14ac:dyDescent="0.25">
      <c r="A68" s="138">
        <v>45987</v>
      </c>
      <c r="B68" s="139">
        <v>1.5</v>
      </c>
      <c r="C68" s="139">
        <v>10</v>
      </c>
      <c r="D68" s="140">
        <v>112.5</v>
      </c>
      <c r="E68" s="139"/>
      <c r="F68" s="139"/>
      <c r="G68" s="140"/>
      <c r="I68" s="138">
        <v>45987</v>
      </c>
      <c r="J68" s="139">
        <v>11.4</v>
      </c>
      <c r="K68" s="139">
        <v>7.4</v>
      </c>
      <c r="L68" s="140">
        <v>632.70000000000005</v>
      </c>
      <c r="M68" s="139">
        <v>6.6</v>
      </c>
      <c r="N68" s="139">
        <v>6</v>
      </c>
      <c r="O68" s="140">
        <v>297</v>
      </c>
    </row>
    <row r="69" spans="1:15" ht="15" customHeight="1" x14ac:dyDescent="0.25">
      <c r="A69" s="138">
        <v>45988</v>
      </c>
      <c r="B69" s="139">
        <v>2</v>
      </c>
      <c r="C69" s="139">
        <v>10</v>
      </c>
      <c r="D69" s="140">
        <v>150</v>
      </c>
      <c r="E69" s="139"/>
      <c r="F69" s="139"/>
      <c r="G69" s="140"/>
      <c r="I69" s="138">
        <v>45988</v>
      </c>
      <c r="J69" s="139">
        <v>8.3000000000000007</v>
      </c>
      <c r="K69" s="139">
        <v>7.2</v>
      </c>
      <c r="L69" s="140">
        <v>448.20000000000005</v>
      </c>
      <c r="M69" s="139">
        <v>8.3000000000000007</v>
      </c>
      <c r="N69" s="139">
        <v>6</v>
      </c>
      <c r="O69" s="140">
        <v>373.50000000000006</v>
      </c>
    </row>
    <row r="70" spans="1:15" ht="15" customHeight="1" x14ac:dyDescent="0.25">
      <c r="A70" s="138">
        <v>45989</v>
      </c>
      <c r="B70" s="139">
        <v>1.9</v>
      </c>
      <c r="C70" s="139">
        <v>10</v>
      </c>
      <c r="D70" s="140">
        <v>142.5</v>
      </c>
      <c r="E70" s="139"/>
      <c r="F70" s="139"/>
      <c r="G70" s="140"/>
      <c r="I70" s="138">
        <v>45989</v>
      </c>
      <c r="J70" s="139">
        <v>9.5</v>
      </c>
      <c r="K70" s="139">
        <v>8</v>
      </c>
      <c r="L70" s="140">
        <v>570</v>
      </c>
      <c r="M70" s="139">
        <v>6.6</v>
      </c>
      <c r="N70" s="139">
        <v>6.2</v>
      </c>
      <c r="O70" s="140">
        <v>306.89999999999998</v>
      </c>
    </row>
    <row r="71" spans="1:15" ht="15" customHeight="1" x14ac:dyDescent="0.25">
      <c r="A71" s="138">
        <v>45990</v>
      </c>
      <c r="B71" s="139">
        <v>1.7</v>
      </c>
      <c r="C71" s="139">
        <v>10</v>
      </c>
      <c r="D71" s="140">
        <v>127.5</v>
      </c>
      <c r="E71" s="139"/>
      <c r="F71" s="139"/>
      <c r="G71" s="140"/>
      <c r="I71" s="138">
        <v>45990</v>
      </c>
      <c r="J71" s="139">
        <v>10.8</v>
      </c>
      <c r="K71" s="139">
        <v>7.3</v>
      </c>
      <c r="L71" s="140">
        <v>591.30000000000007</v>
      </c>
      <c r="M71" s="139">
        <v>7.4</v>
      </c>
      <c r="N71" s="139">
        <v>6.2</v>
      </c>
      <c r="O71" s="140">
        <v>344.1</v>
      </c>
    </row>
    <row r="72" spans="1:15" ht="15" customHeight="1" x14ac:dyDescent="0.25">
      <c r="A72" s="138">
        <v>45991</v>
      </c>
      <c r="B72" s="139">
        <v>1.9</v>
      </c>
      <c r="C72" s="139">
        <v>10</v>
      </c>
      <c r="D72" s="140">
        <v>142.5</v>
      </c>
      <c r="E72" s="139"/>
      <c r="F72" s="139"/>
      <c r="G72" s="140"/>
      <c r="I72" s="138">
        <v>45991</v>
      </c>
      <c r="J72" s="139">
        <v>11.1</v>
      </c>
      <c r="K72" s="139">
        <v>7</v>
      </c>
      <c r="L72" s="140">
        <v>582.75</v>
      </c>
      <c r="M72" s="139">
        <v>7.1</v>
      </c>
      <c r="N72" s="139">
        <v>6.2</v>
      </c>
      <c r="O72" s="140">
        <v>330.15</v>
      </c>
    </row>
    <row r="73" spans="1:15" ht="15" customHeight="1" x14ac:dyDescent="0.25">
      <c r="A73" s="138"/>
      <c r="B73" s="139"/>
      <c r="C73" s="139"/>
      <c r="D73" s="140"/>
      <c r="E73" s="139"/>
      <c r="F73" s="139"/>
      <c r="G73" s="140"/>
      <c r="I73" s="138"/>
      <c r="J73" s="139"/>
      <c r="K73" s="139"/>
      <c r="L73" s="140"/>
      <c r="M73" s="139"/>
      <c r="N73" s="139"/>
      <c r="O73" s="140"/>
    </row>
    <row r="74" spans="1:15" ht="1.5" customHeight="1" x14ac:dyDescent="0.25">
      <c r="A74" s="141"/>
      <c r="B74" s="142"/>
      <c r="C74" s="142"/>
      <c r="D74" s="142"/>
      <c r="E74" s="142"/>
      <c r="F74" s="142"/>
      <c r="G74" s="142"/>
      <c r="I74" s="141"/>
      <c r="J74" s="142"/>
      <c r="K74" s="142"/>
      <c r="L74" s="142"/>
      <c r="M74" s="142"/>
      <c r="N74" s="142"/>
      <c r="O74" s="142"/>
    </row>
    <row r="75" spans="1:15" ht="15" customHeight="1" x14ac:dyDescent="0.25">
      <c r="A75" s="142"/>
      <c r="B75" s="188" t="s">
        <v>39</v>
      </c>
      <c r="C75" s="188"/>
      <c r="D75" s="188"/>
      <c r="E75" s="188"/>
      <c r="F75" s="188"/>
      <c r="G75" s="145">
        <v>27.9</v>
      </c>
      <c r="I75" s="142"/>
      <c r="J75" s="188" t="s">
        <v>39</v>
      </c>
      <c r="K75" s="188"/>
      <c r="L75" s="188"/>
      <c r="M75" s="188"/>
      <c r="N75" s="188"/>
      <c r="O75" s="145">
        <v>282</v>
      </c>
    </row>
    <row r="76" spans="1:15" ht="15" customHeight="1" x14ac:dyDescent="0.25">
      <c r="A76" s="142"/>
      <c r="B76" s="188" t="s">
        <v>40</v>
      </c>
      <c r="C76" s="188"/>
      <c r="D76" s="188"/>
      <c r="E76" s="188"/>
      <c r="F76" s="188"/>
      <c r="G76" s="146">
        <v>2092.5</v>
      </c>
      <c r="I76" s="142"/>
      <c r="J76" s="188" t="s">
        <v>40</v>
      </c>
      <c r="K76" s="188"/>
      <c r="L76" s="188"/>
      <c r="M76" s="188"/>
      <c r="N76" s="188"/>
      <c r="O76" s="146">
        <v>14513.924999999997</v>
      </c>
    </row>
    <row r="77" spans="1:15" ht="15" customHeight="1" x14ac:dyDescent="0.25">
      <c r="A77" s="142"/>
      <c r="B77" s="188" t="s">
        <v>46</v>
      </c>
      <c r="C77" s="188"/>
      <c r="D77" s="188"/>
      <c r="E77" s="188"/>
      <c r="F77" s="188"/>
      <c r="G77" s="147">
        <v>0</v>
      </c>
      <c r="I77" s="142"/>
      <c r="J77" s="188" t="s">
        <v>46</v>
      </c>
      <c r="K77" s="188"/>
      <c r="L77" s="188"/>
      <c r="M77" s="188"/>
      <c r="N77" s="188"/>
      <c r="O77" s="147">
        <v>0</v>
      </c>
    </row>
    <row r="78" spans="1:15" ht="30" customHeight="1" x14ac:dyDescent="0.25">
      <c r="A78" s="142"/>
      <c r="B78" s="189" t="s">
        <v>41</v>
      </c>
      <c r="C78" s="189"/>
      <c r="D78" s="189"/>
      <c r="E78" s="189"/>
      <c r="F78" s="189"/>
      <c r="G78" s="149">
        <v>2092.5</v>
      </c>
      <c r="I78" s="142"/>
      <c r="J78" s="189" t="s">
        <v>41</v>
      </c>
      <c r="K78" s="189"/>
      <c r="L78" s="189"/>
      <c r="M78" s="189"/>
      <c r="N78" s="189"/>
      <c r="O78" s="149">
        <v>14513.924999999997</v>
      </c>
    </row>
    <row r="79" spans="1:15" ht="35.1" customHeight="1" x14ac:dyDescent="0.25">
      <c r="E79"/>
      <c r="G79"/>
      <c r="M79"/>
      <c r="O79"/>
    </row>
    <row r="80" spans="1:15" ht="30" customHeight="1" x14ac:dyDescent="0.25">
      <c r="A80" s="190" t="s">
        <v>75</v>
      </c>
      <c r="B80" s="188"/>
      <c r="C80" s="148">
        <v>7</v>
      </c>
      <c r="D80" s="133" t="s">
        <v>76</v>
      </c>
      <c r="E80" s="150">
        <v>45977</v>
      </c>
      <c r="F80" s="133" t="s">
        <v>77</v>
      </c>
      <c r="G80" s="150">
        <v>45991</v>
      </c>
      <c r="I80" s="190" t="s">
        <v>75</v>
      </c>
      <c r="J80" s="188"/>
      <c r="K80" s="148">
        <v>8</v>
      </c>
      <c r="L80" s="133" t="s">
        <v>76</v>
      </c>
      <c r="M80" s="150">
        <v>45977</v>
      </c>
      <c r="N80" s="133" t="s">
        <v>77</v>
      </c>
      <c r="O80" s="150">
        <v>45991</v>
      </c>
    </row>
    <row r="81" spans="1:15" ht="30" customHeight="1" x14ac:dyDescent="0.25">
      <c r="A81" s="190" t="s">
        <v>78</v>
      </c>
      <c r="B81" s="188"/>
      <c r="C81" s="191" t="s">
        <v>8</v>
      </c>
      <c r="D81" s="191"/>
      <c r="E81" s="191"/>
      <c r="F81" s="191"/>
      <c r="G81" s="191"/>
      <c r="I81" s="190" t="s">
        <v>78</v>
      </c>
      <c r="J81" s="188"/>
      <c r="K81" s="191" t="s">
        <v>9</v>
      </c>
      <c r="L81" s="191"/>
      <c r="M81" s="191"/>
      <c r="N81" s="191"/>
      <c r="O81" s="191"/>
    </row>
    <row r="82" spans="1:15" ht="18" customHeight="1" x14ac:dyDescent="0.3">
      <c r="A82" s="192" t="s">
        <v>28</v>
      </c>
      <c r="B82" s="193" t="s">
        <v>29</v>
      </c>
      <c r="C82" s="193"/>
      <c r="D82" s="193"/>
      <c r="E82" s="193" t="s">
        <v>30</v>
      </c>
      <c r="F82" s="193"/>
      <c r="G82" s="193"/>
      <c r="I82" s="192" t="s">
        <v>28</v>
      </c>
      <c r="J82" s="193" t="s">
        <v>29</v>
      </c>
      <c r="K82" s="193"/>
      <c r="L82" s="193"/>
      <c r="M82" s="193" t="s">
        <v>30</v>
      </c>
      <c r="N82" s="193"/>
      <c r="O82" s="193"/>
    </row>
    <row r="83" spans="1:15" ht="30" customHeight="1" x14ac:dyDescent="0.25">
      <c r="A83" s="192"/>
      <c r="B83" s="136" t="s">
        <v>33</v>
      </c>
      <c r="C83" s="136" t="s">
        <v>32</v>
      </c>
      <c r="D83" s="136" t="s">
        <v>31</v>
      </c>
      <c r="E83" s="136" t="s">
        <v>33</v>
      </c>
      <c r="F83" s="136" t="s">
        <v>32</v>
      </c>
      <c r="G83" s="136" t="s">
        <v>31</v>
      </c>
      <c r="I83" s="192"/>
      <c r="J83" s="136" t="s">
        <v>33</v>
      </c>
      <c r="K83" s="136" t="s">
        <v>32</v>
      </c>
      <c r="L83" s="136" t="s">
        <v>31</v>
      </c>
      <c r="M83" s="136" t="s">
        <v>33</v>
      </c>
      <c r="N83" s="136" t="s">
        <v>32</v>
      </c>
      <c r="O83" s="136" t="s">
        <v>31</v>
      </c>
    </row>
    <row r="84" spans="1:15" x14ac:dyDescent="0.25">
      <c r="A84" s="138">
        <v>45977</v>
      </c>
      <c r="B84" s="139">
        <v>2.9</v>
      </c>
      <c r="C84" s="139">
        <v>7</v>
      </c>
      <c r="D84" s="140">
        <v>152.25</v>
      </c>
      <c r="E84" s="139"/>
      <c r="F84" s="139"/>
      <c r="G84" s="140"/>
      <c r="I84" s="138">
        <v>45977</v>
      </c>
      <c r="J84" s="139">
        <v>7.3</v>
      </c>
      <c r="K84" s="139">
        <v>6.3</v>
      </c>
      <c r="L84" s="140">
        <v>344.92500000000001</v>
      </c>
      <c r="M84" s="139">
        <v>6.5</v>
      </c>
      <c r="N84" s="139">
        <v>6.2</v>
      </c>
      <c r="O84" s="140">
        <v>302.25</v>
      </c>
    </row>
    <row r="85" spans="1:15" x14ac:dyDescent="0.25">
      <c r="A85" s="138">
        <v>45978</v>
      </c>
      <c r="B85" s="139">
        <v>2.8</v>
      </c>
      <c r="C85" s="139">
        <v>7.4</v>
      </c>
      <c r="D85" s="140">
        <v>155.39999999999998</v>
      </c>
      <c r="E85" s="139"/>
      <c r="F85" s="139"/>
      <c r="G85" s="140"/>
      <c r="I85" s="138">
        <v>45978</v>
      </c>
      <c r="J85" s="139">
        <v>6.9</v>
      </c>
      <c r="K85" s="139">
        <v>6.4</v>
      </c>
      <c r="L85" s="140">
        <v>331.20000000000005</v>
      </c>
      <c r="M85" s="139">
        <v>6.1</v>
      </c>
      <c r="N85" s="139">
        <v>6.2</v>
      </c>
      <c r="O85" s="140">
        <v>283.64999999999998</v>
      </c>
    </row>
    <row r="86" spans="1:15" x14ac:dyDescent="0.25">
      <c r="A86" s="138">
        <v>45979</v>
      </c>
      <c r="B86" s="139">
        <v>2.7</v>
      </c>
      <c r="C86" s="139">
        <v>6.9</v>
      </c>
      <c r="D86" s="140">
        <v>139.72500000000002</v>
      </c>
      <c r="E86" s="139"/>
      <c r="F86" s="139"/>
      <c r="G86" s="140"/>
      <c r="I86" s="138">
        <v>45979</v>
      </c>
      <c r="J86" s="139">
        <v>7</v>
      </c>
      <c r="K86" s="139">
        <v>6</v>
      </c>
      <c r="L86" s="140">
        <v>315</v>
      </c>
      <c r="M86" s="139">
        <v>6.5</v>
      </c>
      <c r="N86" s="139">
        <v>6.6</v>
      </c>
      <c r="O86" s="140">
        <v>321.75</v>
      </c>
    </row>
    <row r="87" spans="1:15" x14ac:dyDescent="0.25">
      <c r="A87" s="138">
        <v>45980</v>
      </c>
      <c r="B87" s="139">
        <v>3.5</v>
      </c>
      <c r="C87" s="139">
        <v>8.6</v>
      </c>
      <c r="D87" s="140">
        <v>225.75</v>
      </c>
      <c r="E87" s="139"/>
      <c r="F87" s="139"/>
      <c r="G87" s="140"/>
      <c r="I87" s="138">
        <v>45980</v>
      </c>
      <c r="J87" s="139">
        <v>7.6</v>
      </c>
      <c r="K87" s="139">
        <v>6.4</v>
      </c>
      <c r="L87" s="140">
        <v>364.79999999999995</v>
      </c>
      <c r="M87" s="139">
        <v>6.3</v>
      </c>
      <c r="N87" s="139">
        <v>6</v>
      </c>
      <c r="O87" s="140">
        <v>283.5</v>
      </c>
    </row>
    <row r="88" spans="1:15" x14ac:dyDescent="0.25">
      <c r="A88" s="138">
        <v>45981</v>
      </c>
      <c r="B88" s="139">
        <v>2.8</v>
      </c>
      <c r="C88" s="139">
        <v>7.7</v>
      </c>
      <c r="D88" s="140">
        <v>161.69999999999999</v>
      </c>
      <c r="E88" s="139"/>
      <c r="F88" s="139"/>
      <c r="G88" s="140"/>
      <c r="I88" s="138">
        <v>45981</v>
      </c>
      <c r="J88" s="139">
        <v>7.1</v>
      </c>
      <c r="K88" s="139">
        <v>6.2</v>
      </c>
      <c r="L88" s="140">
        <v>330.15</v>
      </c>
      <c r="M88" s="139">
        <v>6.8</v>
      </c>
      <c r="N88" s="139">
        <v>6.2</v>
      </c>
      <c r="O88" s="140">
        <v>316.2</v>
      </c>
    </row>
    <row r="89" spans="1:15" x14ac:dyDescent="0.25">
      <c r="A89" s="138">
        <v>45982</v>
      </c>
      <c r="B89" s="139">
        <v>2.8</v>
      </c>
      <c r="C89" s="139">
        <v>6.2</v>
      </c>
      <c r="D89" s="140">
        <v>130.19999999999999</v>
      </c>
      <c r="E89" s="139"/>
      <c r="F89" s="139"/>
      <c r="G89" s="140"/>
      <c r="I89" s="138">
        <v>45982</v>
      </c>
      <c r="J89" s="139">
        <v>7.2</v>
      </c>
      <c r="K89" s="139">
        <v>6.2</v>
      </c>
      <c r="L89" s="140">
        <v>334.8</v>
      </c>
      <c r="M89" s="139">
        <v>5.8</v>
      </c>
      <c r="N89" s="139">
        <v>6.2</v>
      </c>
      <c r="O89" s="140">
        <v>269.7</v>
      </c>
    </row>
    <row r="90" spans="1:15" x14ac:dyDescent="0.25">
      <c r="A90" s="138">
        <v>45983</v>
      </c>
      <c r="B90" s="139">
        <v>3.1</v>
      </c>
      <c r="C90" s="139">
        <v>7</v>
      </c>
      <c r="D90" s="140">
        <v>162.75</v>
      </c>
      <c r="E90" s="139"/>
      <c r="F90" s="139"/>
      <c r="G90" s="140"/>
      <c r="I90" s="138">
        <v>45983</v>
      </c>
      <c r="J90" s="139">
        <v>6.2</v>
      </c>
      <c r="K90" s="139">
        <v>6.4</v>
      </c>
      <c r="L90" s="140">
        <v>297.60000000000002</v>
      </c>
      <c r="M90" s="139">
        <v>5.3</v>
      </c>
      <c r="N90" s="139">
        <v>6</v>
      </c>
      <c r="O90" s="140">
        <v>238.5</v>
      </c>
    </row>
    <row r="91" spans="1:15" x14ac:dyDescent="0.25">
      <c r="A91" s="138">
        <v>45984</v>
      </c>
      <c r="B91" s="139">
        <v>2.1</v>
      </c>
      <c r="C91" s="139">
        <v>7.8</v>
      </c>
      <c r="D91" s="140">
        <v>122.85000000000001</v>
      </c>
      <c r="E91" s="139"/>
      <c r="F91" s="139"/>
      <c r="G91" s="140"/>
      <c r="I91" s="138">
        <v>45984</v>
      </c>
      <c r="J91" s="139">
        <v>7.2</v>
      </c>
      <c r="K91" s="139">
        <v>6.6</v>
      </c>
      <c r="L91" s="140">
        <v>356.40000000000003</v>
      </c>
      <c r="M91" s="139">
        <v>6</v>
      </c>
      <c r="N91" s="139">
        <v>6.4</v>
      </c>
      <c r="O91" s="140">
        <v>288</v>
      </c>
    </row>
    <row r="92" spans="1:15" x14ac:dyDescent="0.25">
      <c r="A92" s="138">
        <v>45985</v>
      </c>
      <c r="B92" s="139">
        <v>1.6</v>
      </c>
      <c r="C92" s="139">
        <v>6.7</v>
      </c>
      <c r="D92" s="140">
        <v>80.400000000000006</v>
      </c>
      <c r="E92" s="139"/>
      <c r="F92" s="139"/>
      <c r="G92" s="140"/>
      <c r="I92" s="138">
        <v>45985</v>
      </c>
      <c r="J92" s="139">
        <v>6.7</v>
      </c>
      <c r="K92" s="139">
        <v>6.4</v>
      </c>
      <c r="L92" s="140">
        <v>321.60000000000002</v>
      </c>
      <c r="M92" s="139">
        <v>6.2</v>
      </c>
      <c r="N92" s="139">
        <v>6.4</v>
      </c>
      <c r="O92" s="140">
        <v>297.60000000000002</v>
      </c>
    </row>
    <row r="93" spans="1:15" x14ac:dyDescent="0.25">
      <c r="A93" s="138">
        <v>45986</v>
      </c>
      <c r="B93" s="139">
        <v>2.5</v>
      </c>
      <c r="C93" s="139">
        <v>7.3</v>
      </c>
      <c r="D93" s="140">
        <v>136.875</v>
      </c>
      <c r="E93" s="139"/>
      <c r="F93" s="139"/>
      <c r="G93" s="140"/>
      <c r="I93" s="138">
        <v>45986</v>
      </c>
      <c r="J93" s="139">
        <v>6.5</v>
      </c>
      <c r="K93" s="139">
        <v>6.4</v>
      </c>
      <c r="L93" s="140">
        <v>312</v>
      </c>
      <c r="M93" s="139">
        <v>6</v>
      </c>
      <c r="N93" s="139">
        <v>6.2</v>
      </c>
      <c r="O93" s="140">
        <v>279</v>
      </c>
    </row>
    <row r="94" spans="1:15" x14ac:dyDescent="0.25">
      <c r="A94" s="138">
        <v>45987</v>
      </c>
      <c r="B94" s="139">
        <v>2.5</v>
      </c>
      <c r="C94" s="139">
        <v>8.1999999999999993</v>
      </c>
      <c r="D94" s="140">
        <v>153.75</v>
      </c>
      <c r="E94" s="139"/>
      <c r="F94" s="139"/>
      <c r="G94" s="140"/>
      <c r="I94" s="138">
        <v>45987</v>
      </c>
      <c r="J94" s="139">
        <v>6.8</v>
      </c>
      <c r="K94" s="139">
        <v>6.4</v>
      </c>
      <c r="L94" s="140">
        <v>326.39999999999998</v>
      </c>
      <c r="M94" s="139">
        <v>6</v>
      </c>
      <c r="N94" s="139">
        <v>6.2</v>
      </c>
      <c r="O94" s="140">
        <v>279</v>
      </c>
    </row>
    <row r="95" spans="1:15" x14ac:dyDescent="0.25">
      <c r="A95" s="138">
        <v>45988</v>
      </c>
      <c r="B95" s="139">
        <v>2.9</v>
      </c>
      <c r="C95" s="139">
        <v>7.5</v>
      </c>
      <c r="D95" s="140">
        <v>163.125</v>
      </c>
      <c r="E95" s="139"/>
      <c r="F95" s="139"/>
      <c r="G95" s="140"/>
      <c r="I95" s="138">
        <v>45988</v>
      </c>
      <c r="J95" s="139">
        <v>6.9</v>
      </c>
      <c r="K95" s="139">
        <v>6.4</v>
      </c>
      <c r="L95" s="140">
        <v>331.20000000000005</v>
      </c>
      <c r="M95" s="139">
        <v>6.4</v>
      </c>
      <c r="N95" s="139">
        <v>6</v>
      </c>
      <c r="O95" s="140">
        <v>288</v>
      </c>
    </row>
    <row r="96" spans="1:15" x14ac:dyDescent="0.25">
      <c r="A96" s="138">
        <v>45989</v>
      </c>
      <c r="B96" s="139"/>
      <c r="C96" s="139"/>
      <c r="D96" s="140"/>
      <c r="E96" s="139"/>
      <c r="F96" s="139"/>
      <c r="G96" s="140"/>
      <c r="I96" s="138">
        <v>45989</v>
      </c>
      <c r="J96" s="139">
        <v>6.6</v>
      </c>
      <c r="K96" s="139">
        <v>6.4</v>
      </c>
      <c r="L96" s="140">
        <v>316.79999999999995</v>
      </c>
      <c r="M96" s="139">
        <v>6.4</v>
      </c>
      <c r="N96" s="139">
        <v>6</v>
      </c>
      <c r="O96" s="140">
        <v>288</v>
      </c>
    </row>
    <row r="97" spans="1:17" x14ac:dyDescent="0.25">
      <c r="A97" s="138">
        <v>45990</v>
      </c>
      <c r="B97" s="139">
        <v>2</v>
      </c>
      <c r="C97" s="139">
        <v>7.3</v>
      </c>
      <c r="D97" s="140">
        <v>109.5</v>
      </c>
      <c r="E97" s="139"/>
      <c r="F97" s="139"/>
      <c r="G97" s="140"/>
      <c r="I97" s="138">
        <v>45990</v>
      </c>
      <c r="J97" s="139">
        <v>7.1</v>
      </c>
      <c r="K97" s="139">
        <v>6.8</v>
      </c>
      <c r="L97" s="140">
        <v>362.09999999999997</v>
      </c>
      <c r="M97" s="139">
        <v>5.3</v>
      </c>
      <c r="N97" s="139">
        <v>6.5</v>
      </c>
      <c r="O97" s="140">
        <v>258.375</v>
      </c>
    </row>
    <row r="98" spans="1:17" x14ac:dyDescent="0.25">
      <c r="A98" s="138">
        <v>45991</v>
      </c>
      <c r="B98" s="139">
        <v>2</v>
      </c>
      <c r="C98" s="139">
        <v>7.5</v>
      </c>
      <c r="D98" s="140">
        <v>112.5</v>
      </c>
      <c r="E98" s="139"/>
      <c r="F98" s="139"/>
      <c r="G98" s="140"/>
      <c r="I98" s="138">
        <v>45991</v>
      </c>
      <c r="J98" s="139">
        <v>7.1</v>
      </c>
      <c r="K98" s="139">
        <v>6.5</v>
      </c>
      <c r="L98" s="140">
        <v>346.125</v>
      </c>
      <c r="M98" s="139">
        <v>5.3</v>
      </c>
      <c r="N98" s="139">
        <v>6</v>
      </c>
      <c r="O98" s="140">
        <v>238.5</v>
      </c>
    </row>
    <row r="99" spans="1:17" x14ac:dyDescent="0.25">
      <c r="A99" s="138"/>
      <c r="B99" s="139"/>
      <c r="C99" s="139"/>
      <c r="D99" s="140"/>
      <c r="E99" s="139"/>
      <c r="F99" s="139"/>
      <c r="G99" s="140"/>
      <c r="I99" s="138"/>
      <c r="J99" s="139"/>
      <c r="K99" s="139"/>
      <c r="L99" s="140"/>
      <c r="M99" s="139"/>
      <c r="N99" s="139"/>
      <c r="O99" s="140"/>
    </row>
    <row r="100" spans="1:17" ht="1.5" customHeight="1" x14ac:dyDescent="0.25">
      <c r="A100" s="141"/>
      <c r="B100" s="142"/>
      <c r="C100" s="142"/>
      <c r="D100" s="142"/>
      <c r="E100" s="142"/>
      <c r="F100" s="142"/>
      <c r="G100" s="142"/>
      <c r="I100" s="141"/>
      <c r="J100" s="142"/>
      <c r="K100" s="142"/>
      <c r="L100" s="142"/>
      <c r="M100" s="142"/>
      <c r="N100" s="142"/>
      <c r="O100" s="142"/>
    </row>
    <row r="101" spans="1:17" x14ac:dyDescent="0.25">
      <c r="A101" s="142"/>
      <c r="B101" s="188" t="s">
        <v>39</v>
      </c>
      <c r="C101" s="188"/>
      <c r="D101" s="188"/>
      <c r="E101" s="188"/>
      <c r="F101" s="188"/>
      <c r="G101" s="145">
        <v>36.200000000000003</v>
      </c>
      <c r="I101" s="142"/>
      <c r="J101" s="188" t="s">
        <v>39</v>
      </c>
      <c r="K101" s="188"/>
      <c r="L101" s="188"/>
      <c r="M101" s="188"/>
      <c r="N101" s="188"/>
      <c r="O101" s="145">
        <v>195.10000000000002</v>
      </c>
    </row>
    <row r="102" spans="1:17" x14ac:dyDescent="0.25">
      <c r="A102" s="142"/>
      <c r="B102" s="188" t="s">
        <v>40</v>
      </c>
      <c r="C102" s="188"/>
      <c r="D102" s="188"/>
      <c r="E102" s="188"/>
      <c r="F102" s="188"/>
      <c r="G102" s="146">
        <v>2006.7750000000001</v>
      </c>
      <c r="I102" s="142"/>
      <c r="J102" s="188" t="s">
        <v>40</v>
      </c>
      <c r="K102" s="188"/>
      <c r="L102" s="188"/>
      <c r="M102" s="188"/>
      <c r="N102" s="188"/>
      <c r="O102" s="146">
        <v>9223.125</v>
      </c>
    </row>
    <row r="103" spans="1:17" x14ac:dyDescent="0.25">
      <c r="A103" s="142"/>
      <c r="B103" s="188" t="s">
        <v>46</v>
      </c>
      <c r="C103" s="188"/>
      <c r="D103" s="188"/>
      <c r="E103" s="188"/>
      <c r="F103" s="188"/>
      <c r="G103" s="147">
        <v>0</v>
      </c>
      <c r="I103" s="142"/>
      <c r="J103" s="188" t="s">
        <v>46</v>
      </c>
      <c r="K103" s="188"/>
      <c r="L103" s="188"/>
      <c r="M103" s="188"/>
      <c r="N103" s="188"/>
      <c r="O103" s="147">
        <v>1000</v>
      </c>
    </row>
    <row r="104" spans="1:17" ht="30" customHeight="1" x14ac:dyDescent="0.25">
      <c r="A104" s="142"/>
      <c r="B104" s="189" t="s">
        <v>41</v>
      </c>
      <c r="C104" s="189"/>
      <c r="D104" s="189"/>
      <c r="E104" s="189"/>
      <c r="F104" s="189"/>
      <c r="G104" s="149">
        <v>2006.7750000000001</v>
      </c>
      <c r="I104" s="142"/>
      <c r="J104" s="189" t="s">
        <v>41</v>
      </c>
      <c r="K104" s="189"/>
      <c r="L104" s="189"/>
      <c r="M104" s="189"/>
      <c r="N104" s="189"/>
      <c r="O104" s="149">
        <v>8223.125</v>
      </c>
    </row>
    <row r="105" spans="1:17" ht="6.75" customHeight="1" x14ac:dyDescent="0.25">
      <c r="E105"/>
      <c r="G105"/>
      <c r="M105"/>
      <c r="O105"/>
      <c r="Q105" s="45"/>
    </row>
    <row r="106" spans="1:17" ht="6.75" customHeight="1" x14ac:dyDescent="0.25">
      <c r="E106"/>
      <c r="G106"/>
      <c r="M106"/>
      <c r="O106"/>
    </row>
    <row r="107" spans="1:17" ht="30" customHeight="1" x14ac:dyDescent="0.25">
      <c r="A107" s="190" t="s">
        <v>75</v>
      </c>
      <c r="B107" s="188"/>
      <c r="C107" s="148">
        <v>9</v>
      </c>
      <c r="D107" s="133" t="s">
        <v>76</v>
      </c>
      <c r="E107" s="150">
        <v>45977</v>
      </c>
      <c r="F107" s="133" t="s">
        <v>77</v>
      </c>
      <c r="G107" s="150">
        <v>45991</v>
      </c>
      <c r="I107" s="190" t="s">
        <v>75</v>
      </c>
      <c r="J107" s="188"/>
      <c r="K107" s="148">
        <v>10</v>
      </c>
      <c r="L107" s="133" t="s">
        <v>76</v>
      </c>
      <c r="M107" s="150">
        <v>45977</v>
      </c>
      <c r="N107" s="133" t="s">
        <v>77</v>
      </c>
      <c r="O107" s="150">
        <v>45991</v>
      </c>
    </row>
    <row r="108" spans="1:17" ht="30" customHeight="1" x14ac:dyDescent="0.25">
      <c r="A108" s="190" t="s">
        <v>78</v>
      </c>
      <c r="B108" s="188"/>
      <c r="C108" s="191" t="s">
        <v>66</v>
      </c>
      <c r="D108" s="191"/>
      <c r="E108" s="191"/>
      <c r="F108" s="191"/>
      <c r="G108" s="191"/>
      <c r="I108" s="190" t="s">
        <v>78</v>
      </c>
      <c r="J108" s="188"/>
      <c r="K108" s="191" t="s">
        <v>10</v>
      </c>
      <c r="L108" s="191"/>
      <c r="M108" s="191"/>
      <c r="N108" s="191"/>
      <c r="O108" s="191"/>
    </row>
    <row r="109" spans="1:17" ht="18" customHeight="1" x14ac:dyDescent="0.3">
      <c r="A109" s="192" t="s">
        <v>28</v>
      </c>
      <c r="B109" s="193" t="s">
        <v>29</v>
      </c>
      <c r="C109" s="193"/>
      <c r="D109" s="193"/>
      <c r="E109" s="193" t="s">
        <v>30</v>
      </c>
      <c r="F109" s="193"/>
      <c r="G109" s="193"/>
      <c r="I109" s="192" t="s">
        <v>28</v>
      </c>
      <c r="J109" s="193" t="s">
        <v>29</v>
      </c>
      <c r="K109" s="193"/>
      <c r="L109" s="193"/>
      <c r="M109" s="193" t="s">
        <v>30</v>
      </c>
      <c r="N109" s="193"/>
      <c r="O109" s="193"/>
    </row>
    <row r="110" spans="1:17" ht="30" customHeight="1" x14ac:dyDescent="0.25">
      <c r="A110" s="192"/>
      <c r="B110" s="136" t="s">
        <v>33</v>
      </c>
      <c r="C110" s="136" t="s">
        <v>32</v>
      </c>
      <c r="D110" s="136" t="s">
        <v>31</v>
      </c>
      <c r="E110" s="136" t="s">
        <v>33</v>
      </c>
      <c r="F110" s="136" t="s">
        <v>32</v>
      </c>
      <c r="G110" s="136" t="s">
        <v>31</v>
      </c>
      <c r="I110" s="192"/>
      <c r="J110" s="136" t="s">
        <v>33</v>
      </c>
      <c r="K110" s="136" t="s">
        <v>32</v>
      </c>
      <c r="L110" s="136" t="s">
        <v>31</v>
      </c>
      <c r="M110" s="136" t="s">
        <v>33</v>
      </c>
      <c r="N110" s="136" t="s">
        <v>32</v>
      </c>
      <c r="O110" s="136" t="s">
        <v>31</v>
      </c>
    </row>
    <row r="111" spans="1:17" x14ac:dyDescent="0.25">
      <c r="A111" s="138">
        <v>45977</v>
      </c>
      <c r="B111" s="139">
        <v>1</v>
      </c>
      <c r="C111" s="139">
        <v>8.3000000000000007</v>
      </c>
      <c r="D111" s="140">
        <v>62.25</v>
      </c>
      <c r="E111" s="139">
        <v>1</v>
      </c>
      <c r="F111" s="139">
        <v>7.8</v>
      </c>
      <c r="G111" s="140">
        <v>58.5</v>
      </c>
      <c r="I111" s="138">
        <v>45977</v>
      </c>
      <c r="J111" s="139">
        <v>9.1</v>
      </c>
      <c r="K111" s="139">
        <v>8.1999999999999993</v>
      </c>
      <c r="L111" s="140">
        <v>559.65</v>
      </c>
      <c r="M111" s="139">
        <v>4.5999999999999996</v>
      </c>
      <c r="N111" s="139">
        <v>7</v>
      </c>
      <c r="O111" s="140">
        <v>241.49999999999997</v>
      </c>
    </row>
    <row r="112" spans="1:17" x14ac:dyDescent="0.25">
      <c r="A112" s="138">
        <v>45978</v>
      </c>
      <c r="B112" s="139">
        <v>1</v>
      </c>
      <c r="C112" s="139">
        <v>10</v>
      </c>
      <c r="D112" s="140">
        <v>75</v>
      </c>
      <c r="E112" s="139">
        <v>1</v>
      </c>
      <c r="F112" s="139">
        <v>8.3000000000000007</v>
      </c>
      <c r="G112" s="140">
        <v>62.25</v>
      </c>
      <c r="I112" s="138">
        <v>45978</v>
      </c>
      <c r="J112" s="139">
        <v>9.3000000000000007</v>
      </c>
      <c r="K112" s="139">
        <v>8.8000000000000007</v>
      </c>
      <c r="L112" s="140">
        <v>613.80000000000007</v>
      </c>
      <c r="M112" s="139">
        <v>4.5</v>
      </c>
      <c r="N112" s="139">
        <v>7</v>
      </c>
      <c r="O112" s="140">
        <v>236.25</v>
      </c>
    </row>
    <row r="113" spans="1:15" x14ac:dyDescent="0.25">
      <c r="A113" s="138">
        <v>45979</v>
      </c>
      <c r="B113" s="139">
        <v>1.1000000000000001</v>
      </c>
      <c r="C113" s="139">
        <v>9.4</v>
      </c>
      <c r="D113" s="140">
        <v>77.550000000000011</v>
      </c>
      <c r="E113" s="139">
        <v>1</v>
      </c>
      <c r="F113" s="139">
        <v>7.6</v>
      </c>
      <c r="G113" s="140">
        <v>57</v>
      </c>
      <c r="I113" s="138">
        <v>45979</v>
      </c>
      <c r="J113" s="139">
        <v>8.5</v>
      </c>
      <c r="K113" s="139">
        <v>8.4</v>
      </c>
      <c r="L113" s="140">
        <v>535.5</v>
      </c>
      <c r="M113" s="139">
        <v>5.0999999999999996</v>
      </c>
      <c r="N113" s="139">
        <v>7.6</v>
      </c>
      <c r="O113" s="140">
        <v>290.7</v>
      </c>
    </row>
    <row r="114" spans="1:15" x14ac:dyDescent="0.25">
      <c r="A114" s="138">
        <v>45980</v>
      </c>
      <c r="B114" s="139">
        <v>1.1000000000000001</v>
      </c>
      <c r="C114" s="139">
        <v>9.1</v>
      </c>
      <c r="D114" s="140">
        <v>75.075000000000003</v>
      </c>
      <c r="E114" s="139">
        <v>1</v>
      </c>
      <c r="F114" s="139">
        <v>7.6</v>
      </c>
      <c r="G114" s="140">
        <v>57</v>
      </c>
      <c r="I114" s="138">
        <v>45980</v>
      </c>
      <c r="J114" s="139">
        <v>9.3000000000000007</v>
      </c>
      <c r="K114" s="139">
        <v>8.1999999999999993</v>
      </c>
      <c r="L114" s="140">
        <v>571.95000000000005</v>
      </c>
      <c r="M114" s="139">
        <v>4.4000000000000004</v>
      </c>
      <c r="N114" s="139">
        <v>7</v>
      </c>
      <c r="O114" s="140">
        <v>231.00000000000003</v>
      </c>
    </row>
    <row r="115" spans="1:15" x14ac:dyDescent="0.25">
      <c r="A115" s="138">
        <v>45981</v>
      </c>
      <c r="B115" s="139">
        <v>1</v>
      </c>
      <c r="C115" s="139">
        <v>8.6</v>
      </c>
      <c r="D115" s="140">
        <v>64.5</v>
      </c>
      <c r="E115" s="139">
        <v>0.9</v>
      </c>
      <c r="F115" s="139">
        <v>7.5</v>
      </c>
      <c r="G115" s="140">
        <v>50.625</v>
      </c>
      <c r="I115" s="138">
        <v>45981</v>
      </c>
      <c r="J115" s="139">
        <v>9.4</v>
      </c>
      <c r="K115" s="139">
        <v>8.1999999999999993</v>
      </c>
      <c r="L115" s="140">
        <v>578.1</v>
      </c>
      <c r="M115" s="139">
        <v>4.5</v>
      </c>
      <c r="N115" s="139">
        <v>6.8</v>
      </c>
      <c r="O115" s="140">
        <v>229.5</v>
      </c>
    </row>
    <row r="116" spans="1:15" x14ac:dyDescent="0.25">
      <c r="A116" s="138">
        <v>45982</v>
      </c>
      <c r="B116" s="139">
        <v>1</v>
      </c>
      <c r="C116" s="139">
        <v>8.4</v>
      </c>
      <c r="D116" s="140">
        <v>63</v>
      </c>
      <c r="E116" s="139">
        <v>1</v>
      </c>
      <c r="F116" s="139">
        <v>8.4</v>
      </c>
      <c r="G116" s="140">
        <v>63</v>
      </c>
      <c r="I116" s="138">
        <v>45982</v>
      </c>
      <c r="J116" s="139">
        <v>9.8000000000000007</v>
      </c>
      <c r="K116" s="139">
        <v>7.6</v>
      </c>
      <c r="L116" s="140">
        <v>558.6</v>
      </c>
      <c r="M116" s="139">
        <v>5.4</v>
      </c>
      <c r="N116" s="139">
        <v>8</v>
      </c>
      <c r="O116" s="140">
        <v>324</v>
      </c>
    </row>
    <row r="117" spans="1:15" x14ac:dyDescent="0.25">
      <c r="A117" s="138">
        <v>45983</v>
      </c>
      <c r="B117" s="139">
        <v>1.1000000000000001</v>
      </c>
      <c r="C117" s="139">
        <v>8</v>
      </c>
      <c r="D117" s="140">
        <v>66</v>
      </c>
      <c r="E117" s="139">
        <v>1</v>
      </c>
      <c r="F117" s="139">
        <v>9</v>
      </c>
      <c r="G117" s="140">
        <v>67.5</v>
      </c>
      <c r="I117" s="138">
        <v>45983</v>
      </c>
      <c r="J117" s="139">
        <v>9</v>
      </c>
      <c r="K117" s="139">
        <v>8.1999999999999993</v>
      </c>
      <c r="L117" s="140">
        <v>553.5</v>
      </c>
      <c r="M117" s="139">
        <v>4.7</v>
      </c>
      <c r="N117" s="139">
        <v>7.5</v>
      </c>
      <c r="O117" s="140">
        <v>264.375</v>
      </c>
    </row>
    <row r="118" spans="1:15" x14ac:dyDescent="0.25">
      <c r="A118" s="138">
        <v>45984</v>
      </c>
      <c r="B118" s="139">
        <v>1</v>
      </c>
      <c r="C118" s="139">
        <v>7.7</v>
      </c>
      <c r="D118" s="140">
        <v>57.75</v>
      </c>
      <c r="E118" s="139">
        <v>0.9</v>
      </c>
      <c r="F118" s="139">
        <v>9</v>
      </c>
      <c r="G118" s="140">
        <v>60.75</v>
      </c>
      <c r="I118" s="138">
        <v>45984</v>
      </c>
      <c r="J118" s="139">
        <v>8.8000000000000007</v>
      </c>
      <c r="K118" s="139">
        <v>8.4</v>
      </c>
      <c r="L118" s="140">
        <v>554.40000000000009</v>
      </c>
      <c r="M118" s="139">
        <v>4.3</v>
      </c>
      <c r="N118" s="139">
        <v>7.5</v>
      </c>
      <c r="O118" s="140">
        <v>241.875</v>
      </c>
    </row>
    <row r="119" spans="1:15" x14ac:dyDescent="0.25">
      <c r="A119" s="138">
        <v>45985</v>
      </c>
      <c r="B119" s="139">
        <v>1</v>
      </c>
      <c r="C119" s="139">
        <v>9.1</v>
      </c>
      <c r="D119" s="140">
        <v>68.25</v>
      </c>
      <c r="E119" s="139">
        <v>0.6</v>
      </c>
      <c r="F119" s="139">
        <v>8.4</v>
      </c>
      <c r="G119" s="140">
        <v>37.799999999999997</v>
      </c>
      <c r="I119" s="138">
        <v>45985</v>
      </c>
      <c r="J119" s="139">
        <v>7.9</v>
      </c>
      <c r="K119" s="139">
        <v>8.5</v>
      </c>
      <c r="L119" s="140">
        <v>503.625</v>
      </c>
      <c r="M119" s="139">
        <v>4</v>
      </c>
      <c r="N119" s="139">
        <v>7</v>
      </c>
      <c r="O119" s="140">
        <v>210</v>
      </c>
    </row>
    <row r="120" spans="1:15" x14ac:dyDescent="0.25">
      <c r="A120" s="138">
        <v>45986</v>
      </c>
      <c r="B120" s="139">
        <v>0.9</v>
      </c>
      <c r="C120" s="139">
        <v>10</v>
      </c>
      <c r="D120" s="140">
        <v>67.5</v>
      </c>
      <c r="E120" s="139">
        <v>0.6</v>
      </c>
      <c r="F120" s="139">
        <v>10</v>
      </c>
      <c r="G120" s="140">
        <v>45</v>
      </c>
      <c r="I120" s="138">
        <v>45986</v>
      </c>
      <c r="J120" s="139">
        <v>9.1</v>
      </c>
      <c r="K120" s="139">
        <v>8.1</v>
      </c>
      <c r="L120" s="140">
        <v>552.82499999999993</v>
      </c>
      <c r="M120" s="139">
        <v>4.4000000000000004</v>
      </c>
      <c r="N120" s="139">
        <v>7.8</v>
      </c>
      <c r="O120" s="140">
        <v>257.40000000000003</v>
      </c>
    </row>
    <row r="121" spans="1:15" x14ac:dyDescent="0.25">
      <c r="A121" s="138">
        <v>45987</v>
      </c>
      <c r="B121" s="139">
        <v>1.1000000000000001</v>
      </c>
      <c r="C121" s="139">
        <v>8.4</v>
      </c>
      <c r="D121" s="140">
        <v>69.300000000000011</v>
      </c>
      <c r="E121" s="139">
        <v>0.7</v>
      </c>
      <c r="F121" s="139">
        <v>10</v>
      </c>
      <c r="G121" s="140">
        <v>52.5</v>
      </c>
      <c r="I121" s="138">
        <v>45987</v>
      </c>
      <c r="J121" s="139">
        <v>8.5</v>
      </c>
      <c r="K121" s="139">
        <v>8.1999999999999993</v>
      </c>
      <c r="L121" s="140">
        <v>522.75</v>
      </c>
      <c r="M121" s="139">
        <v>4.3</v>
      </c>
      <c r="N121" s="139">
        <v>7.5</v>
      </c>
      <c r="O121" s="140">
        <v>241.875</v>
      </c>
    </row>
    <row r="122" spans="1:15" x14ac:dyDescent="0.25">
      <c r="A122" s="138">
        <v>45988</v>
      </c>
      <c r="B122" s="139">
        <v>1</v>
      </c>
      <c r="C122" s="139">
        <v>8.4</v>
      </c>
      <c r="D122" s="140">
        <v>63</v>
      </c>
      <c r="E122" s="139">
        <v>0.7</v>
      </c>
      <c r="F122" s="139">
        <v>9</v>
      </c>
      <c r="G122" s="140">
        <v>47.25</v>
      </c>
      <c r="I122" s="138">
        <v>45988</v>
      </c>
      <c r="J122" s="139">
        <v>8.1</v>
      </c>
      <c r="K122" s="139">
        <v>8.1999999999999993</v>
      </c>
      <c r="L122" s="140">
        <v>498.15</v>
      </c>
      <c r="M122" s="139">
        <v>4.5999999999999996</v>
      </c>
      <c r="N122" s="139">
        <v>7.5</v>
      </c>
      <c r="O122" s="140">
        <v>258.75</v>
      </c>
    </row>
    <row r="123" spans="1:15" x14ac:dyDescent="0.25">
      <c r="A123" s="138">
        <v>45989</v>
      </c>
      <c r="B123" s="139">
        <v>1.2</v>
      </c>
      <c r="C123" s="139">
        <v>8.4</v>
      </c>
      <c r="D123" s="140">
        <v>75.599999999999994</v>
      </c>
      <c r="E123" s="139">
        <v>0.7</v>
      </c>
      <c r="F123" s="139">
        <v>9</v>
      </c>
      <c r="G123" s="140">
        <v>47.25</v>
      </c>
      <c r="I123" s="138">
        <v>45989</v>
      </c>
      <c r="J123" s="139">
        <v>9.4</v>
      </c>
      <c r="K123" s="139">
        <v>8.4</v>
      </c>
      <c r="L123" s="140">
        <v>592.20000000000005</v>
      </c>
      <c r="M123" s="139">
        <v>4.0999999999999996</v>
      </c>
      <c r="N123" s="139">
        <v>7</v>
      </c>
      <c r="O123" s="140">
        <v>215.24999999999997</v>
      </c>
    </row>
    <row r="124" spans="1:15" x14ac:dyDescent="0.25">
      <c r="A124" s="138">
        <v>45990</v>
      </c>
      <c r="B124" s="139">
        <v>1</v>
      </c>
      <c r="C124" s="139">
        <v>7.9</v>
      </c>
      <c r="D124" s="140">
        <v>59.25</v>
      </c>
      <c r="E124" s="139">
        <v>0.9</v>
      </c>
      <c r="F124" s="139">
        <v>9</v>
      </c>
      <c r="G124" s="140">
        <v>60.75</v>
      </c>
      <c r="I124" s="138">
        <v>45990</v>
      </c>
      <c r="J124" s="139">
        <v>9</v>
      </c>
      <c r="K124" s="139">
        <v>8.1999999999999993</v>
      </c>
      <c r="L124" s="140">
        <v>553.5</v>
      </c>
      <c r="M124" s="139">
        <v>3.6</v>
      </c>
      <c r="N124" s="139">
        <v>9.1</v>
      </c>
      <c r="O124" s="140">
        <v>245.70000000000002</v>
      </c>
    </row>
    <row r="125" spans="1:15" x14ac:dyDescent="0.25">
      <c r="A125" s="138">
        <v>45991</v>
      </c>
      <c r="B125" s="139">
        <v>0.9</v>
      </c>
      <c r="C125" s="139">
        <v>7.9</v>
      </c>
      <c r="D125" s="140">
        <v>53.325000000000003</v>
      </c>
      <c r="E125" s="139">
        <v>0.7</v>
      </c>
      <c r="F125" s="139">
        <v>9</v>
      </c>
      <c r="G125" s="140">
        <v>47.25</v>
      </c>
      <c r="I125" s="138">
        <v>45991</v>
      </c>
      <c r="J125" s="139">
        <v>7.4</v>
      </c>
      <c r="K125" s="139">
        <v>7.4</v>
      </c>
      <c r="L125" s="140">
        <v>410.70000000000005</v>
      </c>
      <c r="M125" s="139"/>
      <c r="N125" s="139"/>
      <c r="O125" s="140"/>
    </row>
    <row r="126" spans="1:15" x14ac:dyDescent="0.25">
      <c r="A126" s="138"/>
      <c r="B126" s="139"/>
      <c r="C126" s="139"/>
      <c r="D126" s="140"/>
      <c r="E126" s="139"/>
      <c r="F126" s="139"/>
      <c r="G126" s="140"/>
      <c r="I126" s="138"/>
      <c r="J126" s="139"/>
      <c r="K126" s="139"/>
      <c r="L126" s="140"/>
      <c r="M126" s="139"/>
      <c r="N126" s="139"/>
      <c r="O126" s="140"/>
    </row>
    <row r="127" spans="1:15" ht="1.5" customHeight="1" x14ac:dyDescent="0.25">
      <c r="A127" s="141"/>
      <c r="B127" s="142"/>
      <c r="C127" s="142"/>
      <c r="D127" s="142"/>
      <c r="E127" s="142"/>
      <c r="F127" s="142"/>
      <c r="G127" s="142"/>
      <c r="I127" s="141"/>
      <c r="J127" s="142"/>
      <c r="K127" s="142"/>
      <c r="L127" s="142"/>
      <c r="M127" s="142"/>
      <c r="N127" s="142"/>
      <c r="O127" s="142"/>
    </row>
    <row r="128" spans="1:15" x14ac:dyDescent="0.25">
      <c r="A128" s="142"/>
      <c r="B128" s="188" t="s">
        <v>39</v>
      </c>
      <c r="C128" s="188"/>
      <c r="D128" s="188"/>
      <c r="E128" s="188"/>
      <c r="F128" s="188"/>
      <c r="G128" s="145">
        <v>28.099999999999998</v>
      </c>
      <c r="I128" s="142"/>
      <c r="J128" s="188" t="s">
        <v>39</v>
      </c>
      <c r="K128" s="188"/>
      <c r="L128" s="188"/>
      <c r="M128" s="188"/>
      <c r="N128" s="188"/>
      <c r="O128" s="145">
        <v>195.1</v>
      </c>
    </row>
    <row r="129" spans="1:15" x14ac:dyDescent="0.25">
      <c r="A129" s="142"/>
      <c r="B129" s="188" t="s">
        <v>40</v>
      </c>
      <c r="C129" s="188"/>
      <c r="D129" s="188"/>
      <c r="E129" s="188"/>
      <c r="F129" s="188"/>
      <c r="G129" s="146">
        <v>1811.7750000000001</v>
      </c>
      <c r="I129" s="142"/>
      <c r="J129" s="188" t="s">
        <v>40</v>
      </c>
      <c r="K129" s="188"/>
      <c r="L129" s="188"/>
      <c r="M129" s="188"/>
      <c r="N129" s="188"/>
      <c r="O129" s="146">
        <v>11647.424999999999</v>
      </c>
    </row>
    <row r="130" spans="1:15" x14ac:dyDescent="0.25">
      <c r="A130" s="142"/>
      <c r="B130" s="188" t="s">
        <v>46</v>
      </c>
      <c r="C130" s="188"/>
      <c r="D130" s="188"/>
      <c r="E130" s="188"/>
      <c r="F130" s="188"/>
      <c r="G130" s="147">
        <v>0</v>
      </c>
      <c r="I130" s="142"/>
      <c r="J130" s="188" t="s">
        <v>46</v>
      </c>
      <c r="K130" s="188"/>
      <c r="L130" s="188"/>
      <c r="M130" s="188"/>
      <c r="N130" s="188"/>
      <c r="O130" s="147">
        <v>996</v>
      </c>
    </row>
    <row r="131" spans="1:15" ht="30" customHeight="1" x14ac:dyDescent="0.25">
      <c r="A131" s="142"/>
      <c r="B131" s="189" t="s">
        <v>41</v>
      </c>
      <c r="C131" s="189"/>
      <c r="D131" s="189"/>
      <c r="E131" s="189"/>
      <c r="F131" s="189"/>
      <c r="G131" s="149">
        <v>1811.7750000000001</v>
      </c>
      <c r="I131" s="142"/>
      <c r="J131" s="189" t="s">
        <v>41</v>
      </c>
      <c r="K131" s="189"/>
      <c r="L131" s="189"/>
      <c r="M131" s="189"/>
      <c r="N131" s="189"/>
      <c r="O131" s="149">
        <v>10651.424999999999</v>
      </c>
    </row>
    <row r="132" spans="1:15" ht="35.1" customHeight="1" x14ac:dyDescent="0.25">
      <c r="E132"/>
      <c r="G132"/>
      <c r="M132"/>
      <c r="O132"/>
    </row>
    <row r="133" spans="1:15" ht="30" customHeight="1" x14ac:dyDescent="0.25">
      <c r="A133" s="190" t="s">
        <v>75</v>
      </c>
      <c r="B133" s="188"/>
      <c r="C133" s="148">
        <v>12</v>
      </c>
      <c r="D133" s="133" t="s">
        <v>76</v>
      </c>
      <c r="E133" s="150">
        <v>45977</v>
      </c>
      <c r="F133" s="133" t="s">
        <v>77</v>
      </c>
      <c r="G133" s="150">
        <v>45991</v>
      </c>
      <c r="I133" s="190" t="s">
        <v>75</v>
      </c>
      <c r="J133" s="188"/>
      <c r="K133" s="148">
        <v>13</v>
      </c>
      <c r="L133" s="133" t="s">
        <v>76</v>
      </c>
      <c r="M133" s="150">
        <v>45977</v>
      </c>
      <c r="N133" s="133" t="s">
        <v>77</v>
      </c>
      <c r="O133" s="150">
        <v>45991</v>
      </c>
    </row>
    <row r="134" spans="1:15" ht="30" customHeight="1" x14ac:dyDescent="0.25">
      <c r="A134" s="190" t="s">
        <v>78</v>
      </c>
      <c r="B134" s="188"/>
      <c r="C134" s="191" t="s">
        <v>11</v>
      </c>
      <c r="D134" s="191"/>
      <c r="E134" s="191"/>
      <c r="F134" s="191"/>
      <c r="G134" s="191"/>
      <c r="I134" s="190" t="s">
        <v>78</v>
      </c>
      <c r="J134" s="188"/>
      <c r="K134" s="191" t="s">
        <v>12</v>
      </c>
      <c r="L134" s="191"/>
      <c r="M134" s="191"/>
      <c r="N134" s="191"/>
      <c r="O134" s="191"/>
    </row>
    <row r="135" spans="1:15" ht="18" customHeight="1" x14ac:dyDescent="0.3">
      <c r="A135" s="192" t="s">
        <v>28</v>
      </c>
      <c r="B135" s="193" t="s">
        <v>29</v>
      </c>
      <c r="C135" s="193"/>
      <c r="D135" s="193"/>
      <c r="E135" s="193" t="s">
        <v>30</v>
      </c>
      <c r="F135" s="193"/>
      <c r="G135" s="193"/>
      <c r="I135" s="192" t="s">
        <v>28</v>
      </c>
      <c r="J135" s="193" t="s">
        <v>29</v>
      </c>
      <c r="K135" s="193"/>
      <c r="L135" s="193"/>
      <c r="M135" s="193" t="s">
        <v>30</v>
      </c>
      <c r="N135" s="193"/>
      <c r="O135" s="193"/>
    </row>
    <row r="136" spans="1:15" ht="30" customHeight="1" x14ac:dyDescent="0.25">
      <c r="A136" s="192"/>
      <c r="B136" s="136" t="s">
        <v>33</v>
      </c>
      <c r="C136" s="136" t="s">
        <v>32</v>
      </c>
      <c r="D136" s="136" t="s">
        <v>31</v>
      </c>
      <c r="E136" s="136" t="s">
        <v>33</v>
      </c>
      <c r="F136" s="136" t="s">
        <v>32</v>
      </c>
      <c r="G136" s="136" t="s">
        <v>31</v>
      </c>
      <c r="I136" s="192"/>
      <c r="J136" s="136" t="s">
        <v>33</v>
      </c>
      <c r="K136" s="136" t="s">
        <v>32</v>
      </c>
      <c r="L136" s="136" t="s">
        <v>31</v>
      </c>
      <c r="M136" s="136" t="s">
        <v>33</v>
      </c>
      <c r="N136" s="136" t="s">
        <v>32</v>
      </c>
      <c r="O136" s="136" t="s">
        <v>31</v>
      </c>
    </row>
    <row r="137" spans="1:15" x14ac:dyDescent="0.25">
      <c r="A137" s="138">
        <v>45977</v>
      </c>
      <c r="B137" s="139">
        <v>3.9</v>
      </c>
      <c r="C137" s="139">
        <v>6.8</v>
      </c>
      <c r="D137" s="140">
        <v>198.9</v>
      </c>
      <c r="E137" s="139">
        <v>2.4</v>
      </c>
      <c r="F137" s="139">
        <v>6.2</v>
      </c>
      <c r="G137" s="140">
        <v>111.6</v>
      </c>
      <c r="I137" s="138">
        <v>45977</v>
      </c>
      <c r="J137" s="139">
        <v>3.1</v>
      </c>
      <c r="K137" s="139">
        <v>7.7</v>
      </c>
      <c r="L137" s="140">
        <v>179.02500000000001</v>
      </c>
      <c r="M137" s="139">
        <v>3.4</v>
      </c>
      <c r="N137" s="139">
        <v>7.4</v>
      </c>
      <c r="O137" s="140">
        <v>188.7</v>
      </c>
    </row>
    <row r="138" spans="1:15" x14ac:dyDescent="0.25">
      <c r="A138" s="138">
        <v>45978</v>
      </c>
      <c r="B138" s="139">
        <v>4.5999999999999996</v>
      </c>
      <c r="C138" s="139">
        <v>6.5</v>
      </c>
      <c r="D138" s="140">
        <v>224.24999999999997</v>
      </c>
      <c r="E138" s="139">
        <v>3.7</v>
      </c>
      <c r="F138" s="139">
        <v>5.5</v>
      </c>
      <c r="G138" s="140">
        <v>152.625</v>
      </c>
      <c r="I138" s="138">
        <v>45978</v>
      </c>
      <c r="J138" s="139">
        <v>5.2</v>
      </c>
      <c r="K138" s="139">
        <v>9</v>
      </c>
      <c r="L138" s="140">
        <v>351</v>
      </c>
      <c r="M138" s="139">
        <v>2.2999999999999998</v>
      </c>
      <c r="N138" s="139">
        <v>7.6</v>
      </c>
      <c r="O138" s="140">
        <v>131.1</v>
      </c>
    </row>
    <row r="139" spans="1:15" x14ac:dyDescent="0.25">
      <c r="A139" s="138">
        <v>45979</v>
      </c>
      <c r="B139" s="139">
        <v>3.9</v>
      </c>
      <c r="C139" s="139">
        <v>6.4</v>
      </c>
      <c r="D139" s="140">
        <v>187.2</v>
      </c>
      <c r="E139" s="139">
        <v>2.9</v>
      </c>
      <c r="F139" s="139">
        <v>5.7</v>
      </c>
      <c r="G139" s="140">
        <v>123.97499999999999</v>
      </c>
      <c r="I139" s="138">
        <v>45979</v>
      </c>
      <c r="J139" s="139">
        <v>5</v>
      </c>
      <c r="K139" s="139">
        <v>8</v>
      </c>
      <c r="L139" s="140">
        <v>300</v>
      </c>
      <c r="M139" s="139">
        <v>2</v>
      </c>
      <c r="N139" s="139">
        <v>8.1999999999999993</v>
      </c>
      <c r="O139" s="140">
        <v>123</v>
      </c>
    </row>
    <row r="140" spans="1:15" x14ac:dyDescent="0.25">
      <c r="A140" s="138">
        <v>45980</v>
      </c>
      <c r="B140" s="139">
        <v>4.2</v>
      </c>
      <c r="C140" s="139">
        <v>6.5</v>
      </c>
      <c r="D140" s="140">
        <v>204.75</v>
      </c>
      <c r="E140" s="139">
        <v>2.8</v>
      </c>
      <c r="F140" s="139">
        <v>5.5</v>
      </c>
      <c r="G140" s="140">
        <v>115.49999999999999</v>
      </c>
      <c r="I140" s="138">
        <v>45980</v>
      </c>
      <c r="J140" s="139">
        <v>4.2</v>
      </c>
      <c r="K140" s="139">
        <v>8.3000000000000007</v>
      </c>
      <c r="L140" s="140">
        <v>261.45</v>
      </c>
      <c r="M140" s="139">
        <v>2.7</v>
      </c>
      <c r="N140" s="139">
        <v>7.3</v>
      </c>
      <c r="O140" s="140">
        <v>147.82500000000002</v>
      </c>
    </row>
    <row r="141" spans="1:15" x14ac:dyDescent="0.25">
      <c r="A141" s="138">
        <v>45981</v>
      </c>
      <c r="B141" s="139">
        <v>4.3</v>
      </c>
      <c r="C141" s="139">
        <v>6</v>
      </c>
      <c r="D141" s="140">
        <v>193.5</v>
      </c>
      <c r="E141" s="139">
        <v>2.2000000000000002</v>
      </c>
      <c r="F141" s="139">
        <v>5.5</v>
      </c>
      <c r="G141" s="140">
        <v>90.750000000000014</v>
      </c>
      <c r="I141" s="138">
        <v>45981</v>
      </c>
      <c r="J141" s="139">
        <v>4.0999999999999996</v>
      </c>
      <c r="K141" s="139">
        <v>8.6999999999999993</v>
      </c>
      <c r="L141" s="140">
        <v>267.52499999999998</v>
      </c>
      <c r="M141" s="139">
        <v>2.7</v>
      </c>
      <c r="N141" s="139">
        <v>7.2</v>
      </c>
      <c r="O141" s="140">
        <v>145.80000000000001</v>
      </c>
    </row>
    <row r="142" spans="1:15" x14ac:dyDescent="0.25">
      <c r="A142" s="138">
        <v>45982</v>
      </c>
      <c r="B142" s="139">
        <v>4.4000000000000004</v>
      </c>
      <c r="C142" s="139">
        <v>6.3</v>
      </c>
      <c r="D142" s="140">
        <v>207.9</v>
      </c>
      <c r="E142" s="139">
        <v>1.4</v>
      </c>
      <c r="F142" s="139">
        <v>5.5</v>
      </c>
      <c r="G142" s="140">
        <v>57.749999999999993</v>
      </c>
      <c r="I142" s="138">
        <v>45982</v>
      </c>
      <c r="J142" s="139">
        <v>4.5999999999999996</v>
      </c>
      <c r="K142" s="139">
        <v>8.8000000000000007</v>
      </c>
      <c r="L142" s="140">
        <v>303.59999999999997</v>
      </c>
      <c r="M142" s="139">
        <v>2.2999999999999998</v>
      </c>
      <c r="N142" s="139">
        <v>7.6</v>
      </c>
      <c r="O142" s="140">
        <v>131.1</v>
      </c>
    </row>
    <row r="143" spans="1:15" x14ac:dyDescent="0.25">
      <c r="A143" s="138">
        <v>45983</v>
      </c>
      <c r="B143" s="139">
        <v>4.7</v>
      </c>
      <c r="C143" s="139">
        <v>6</v>
      </c>
      <c r="D143" s="140">
        <v>211.5</v>
      </c>
      <c r="E143" s="139">
        <v>3.4</v>
      </c>
      <c r="F143" s="139">
        <v>6</v>
      </c>
      <c r="G143" s="140">
        <v>153</v>
      </c>
      <c r="I143" s="138">
        <v>45983</v>
      </c>
      <c r="J143" s="139">
        <v>3.5</v>
      </c>
      <c r="K143" s="139">
        <v>8.6</v>
      </c>
      <c r="L143" s="140">
        <v>225.75</v>
      </c>
      <c r="M143" s="139">
        <v>1.6</v>
      </c>
      <c r="N143" s="139">
        <v>7.6</v>
      </c>
      <c r="O143" s="140">
        <v>91.2</v>
      </c>
    </row>
    <row r="144" spans="1:15" x14ac:dyDescent="0.25">
      <c r="A144" s="138">
        <v>45984</v>
      </c>
      <c r="B144" s="139">
        <v>3.5</v>
      </c>
      <c r="C144" s="139">
        <v>5.7</v>
      </c>
      <c r="D144" s="140">
        <v>149.625</v>
      </c>
      <c r="E144" s="139">
        <v>2.2999999999999998</v>
      </c>
      <c r="F144" s="139">
        <v>7.4</v>
      </c>
      <c r="G144" s="140">
        <v>127.64999999999999</v>
      </c>
      <c r="I144" s="138">
        <v>45984</v>
      </c>
      <c r="J144" s="139">
        <v>3.3</v>
      </c>
      <c r="K144" s="139">
        <v>8.4</v>
      </c>
      <c r="L144" s="140">
        <v>207.89999999999998</v>
      </c>
      <c r="M144" s="139">
        <v>2</v>
      </c>
      <c r="N144" s="139">
        <v>7.8</v>
      </c>
      <c r="O144" s="140">
        <v>117</v>
      </c>
    </row>
    <row r="145" spans="1:17" x14ac:dyDescent="0.25">
      <c r="A145" s="138">
        <v>45985</v>
      </c>
      <c r="B145" s="139">
        <v>4.8</v>
      </c>
      <c r="C145" s="139">
        <v>6.5</v>
      </c>
      <c r="D145" s="140">
        <v>234</v>
      </c>
      <c r="E145" s="139">
        <v>2.4</v>
      </c>
      <c r="F145" s="139">
        <v>5.8</v>
      </c>
      <c r="G145" s="140">
        <v>104.39999999999999</v>
      </c>
      <c r="I145" s="138">
        <v>45985</v>
      </c>
      <c r="J145" s="139">
        <v>3.8</v>
      </c>
      <c r="K145" s="139">
        <v>8.6999999999999993</v>
      </c>
      <c r="L145" s="140">
        <v>247.95</v>
      </c>
      <c r="M145" s="139">
        <v>1.5</v>
      </c>
      <c r="N145" s="139">
        <v>6.2</v>
      </c>
      <c r="O145" s="140">
        <v>69.75</v>
      </c>
    </row>
    <row r="146" spans="1:17" x14ac:dyDescent="0.25">
      <c r="A146" s="138">
        <v>45986</v>
      </c>
      <c r="B146" s="139">
        <v>4.7</v>
      </c>
      <c r="C146" s="139">
        <v>7</v>
      </c>
      <c r="D146" s="140">
        <v>246.75</v>
      </c>
      <c r="E146" s="139">
        <v>2</v>
      </c>
      <c r="F146" s="139">
        <v>6</v>
      </c>
      <c r="G146" s="140">
        <v>90</v>
      </c>
      <c r="I146" s="138">
        <v>45986</v>
      </c>
      <c r="J146" s="139">
        <v>4.8</v>
      </c>
      <c r="K146" s="139">
        <v>8.8000000000000007</v>
      </c>
      <c r="L146" s="140">
        <v>316.8</v>
      </c>
      <c r="M146" s="139">
        <v>2.1</v>
      </c>
      <c r="N146" s="139">
        <v>8</v>
      </c>
      <c r="O146" s="140">
        <v>126</v>
      </c>
    </row>
    <row r="147" spans="1:17" x14ac:dyDescent="0.25">
      <c r="A147" s="138">
        <v>45987</v>
      </c>
      <c r="B147" s="139">
        <v>3.7</v>
      </c>
      <c r="C147" s="139">
        <v>7.2</v>
      </c>
      <c r="D147" s="140">
        <v>199.8</v>
      </c>
      <c r="E147" s="139">
        <v>3.1</v>
      </c>
      <c r="F147" s="139">
        <v>6.4</v>
      </c>
      <c r="G147" s="140">
        <v>148.80000000000001</v>
      </c>
      <c r="I147" s="138">
        <v>45987</v>
      </c>
      <c r="J147" s="139">
        <v>3.9</v>
      </c>
      <c r="K147" s="139">
        <v>8.6</v>
      </c>
      <c r="L147" s="140">
        <v>251.54999999999998</v>
      </c>
      <c r="M147" s="139">
        <v>2.2999999999999998</v>
      </c>
      <c r="N147" s="139">
        <v>6.8</v>
      </c>
      <c r="O147" s="140">
        <v>117.3</v>
      </c>
    </row>
    <row r="148" spans="1:17" x14ac:dyDescent="0.25">
      <c r="A148" s="138">
        <v>45988</v>
      </c>
      <c r="B148" s="139">
        <v>4.9000000000000004</v>
      </c>
      <c r="C148" s="139">
        <v>7</v>
      </c>
      <c r="D148" s="140">
        <v>257.25</v>
      </c>
      <c r="E148" s="139">
        <v>3.2</v>
      </c>
      <c r="F148" s="139">
        <v>6.5</v>
      </c>
      <c r="G148" s="140">
        <v>156</v>
      </c>
      <c r="I148" s="138">
        <v>45988</v>
      </c>
      <c r="J148" s="139">
        <v>3.7</v>
      </c>
      <c r="K148" s="139">
        <v>8</v>
      </c>
      <c r="L148" s="140">
        <v>222</v>
      </c>
      <c r="M148" s="139">
        <v>2.6</v>
      </c>
      <c r="N148" s="139">
        <v>8.6999999999999993</v>
      </c>
      <c r="O148" s="140">
        <v>169.65</v>
      </c>
    </row>
    <row r="149" spans="1:17" x14ac:dyDescent="0.25">
      <c r="A149" s="138">
        <v>45989</v>
      </c>
      <c r="B149" s="139">
        <v>6.2</v>
      </c>
      <c r="C149" s="139">
        <v>6.5</v>
      </c>
      <c r="D149" s="140">
        <v>302.25</v>
      </c>
      <c r="E149" s="139">
        <v>2.7</v>
      </c>
      <c r="F149" s="139">
        <v>6.2</v>
      </c>
      <c r="G149" s="140">
        <v>125.55000000000001</v>
      </c>
      <c r="I149" s="138">
        <v>45989</v>
      </c>
      <c r="J149" s="139">
        <v>3.7</v>
      </c>
      <c r="K149" s="139">
        <v>8.6</v>
      </c>
      <c r="L149" s="140">
        <v>238.65</v>
      </c>
      <c r="M149" s="139">
        <v>2.1</v>
      </c>
      <c r="N149" s="139">
        <v>7.6</v>
      </c>
      <c r="O149" s="140">
        <v>119.7</v>
      </c>
    </row>
    <row r="150" spans="1:17" x14ac:dyDescent="0.25">
      <c r="A150" s="138">
        <v>45990</v>
      </c>
      <c r="B150" s="139">
        <v>5.3</v>
      </c>
      <c r="C150" s="139">
        <v>6.3</v>
      </c>
      <c r="D150" s="140">
        <v>250.42499999999998</v>
      </c>
      <c r="E150" s="139">
        <v>2.9</v>
      </c>
      <c r="F150" s="139">
        <v>6.2</v>
      </c>
      <c r="G150" s="140">
        <v>134.85</v>
      </c>
      <c r="I150" s="138">
        <v>45990</v>
      </c>
      <c r="J150" s="139">
        <v>3.4</v>
      </c>
      <c r="K150" s="139">
        <v>8.6999999999999993</v>
      </c>
      <c r="L150" s="140">
        <v>221.85</v>
      </c>
      <c r="M150" s="139">
        <v>1.5</v>
      </c>
      <c r="N150" s="139">
        <v>7.8</v>
      </c>
      <c r="O150" s="140">
        <v>87.75</v>
      </c>
    </row>
    <row r="151" spans="1:17" x14ac:dyDescent="0.25">
      <c r="A151" s="138">
        <v>45991</v>
      </c>
      <c r="B151" s="139">
        <v>5.3</v>
      </c>
      <c r="C151" s="139">
        <v>6.2</v>
      </c>
      <c r="D151" s="140">
        <v>246.45</v>
      </c>
      <c r="E151" s="139">
        <v>3</v>
      </c>
      <c r="F151" s="139">
        <v>6</v>
      </c>
      <c r="G151" s="140">
        <v>135</v>
      </c>
      <c r="I151" s="138">
        <v>45991</v>
      </c>
      <c r="J151" s="139">
        <v>4.3</v>
      </c>
      <c r="K151" s="139">
        <v>9</v>
      </c>
      <c r="L151" s="140">
        <v>290.25</v>
      </c>
      <c r="M151" s="139">
        <v>2</v>
      </c>
      <c r="N151" s="139">
        <v>6.9</v>
      </c>
      <c r="O151" s="140">
        <v>103.5</v>
      </c>
    </row>
    <row r="152" spans="1:17" x14ac:dyDescent="0.25">
      <c r="A152" s="138"/>
      <c r="B152" s="139"/>
      <c r="C152" s="139"/>
      <c r="D152" s="140"/>
      <c r="E152" s="139"/>
      <c r="F152" s="139"/>
      <c r="G152" s="140"/>
      <c r="I152" s="138"/>
      <c r="J152" s="139"/>
      <c r="K152" s="139"/>
      <c r="L152" s="140"/>
      <c r="M152" s="139"/>
      <c r="N152" s="139"/>
      <c r="O152" s="140"/>
    </row>
    <row r="153" spans="1:17" ht="1.5" customHeight="1" x14ac:dyDescent="0.25">
      <c r="A153" s="141"/>
      <c r="B153" s="142"/>
      <c r="C153" s="142"/>
      <c r="D153" s="142"/>
      <c r="E153" s="142"/>
      <c r="F153" s="142"/>
      <c r="G153" s="142"/>
      <c r="I153" s="141"/>
      <c r="J153" s="142"/>
      <c r="K153" s="142"/>
      <c r="L153" s="142"/>
      <c r="M153" s="142"/>
      <c r="N153" s="142"/>
      <c r="O153" s="142"/>
    </row>
    <row r="154" spans="1:17" x14ac:dyDescent="0.25">
      <c r="A154" s="142"/>
      <c r="B154" s="188" t="s">
        <v>39</v>
      </c>
      <c r="C154" s="188"/>
      <c r="D154" s="188"/>
      <c r="E154" s="188"/>
      <c r="F154" s="188"/>
      <c r="G154" s="145">
        <v>108.80000000000001</v>
      </c>
      <c r="I154" s="142"/>
      <c r="J154" s="188" t="s">
        <v>39</v>
      </c>
      <c r="K154" s="188"/>
      <c r="L154" s="188"/>
      <c r="M154" s="188"/>
      <c r="N154" s="188"/>
      <c r="O154" s="145">
        <v>93.7</v>
      </c>
    </row>
    <row r="155" spans="1:17" x14ac:dyDescent="0.25">
      <c r="A155" s="142"/>
      <c r="B155" s="188" t="s">
        <v>40</v>
      </c>
      <c r="C155" s="188"/>
      <c r="D155" s="188"/>
      <c r="E155" s="188"/>
      <c r="F155" s="188"/>
      <c r="G155" s="146">
        <v>5142</v>
      </c>
      <c r="I155" s="142"/>
      <c r="J155" s="188" t="s">
        <v>40</v>
      </c>
      <c r="K155" s="188"/>
      <c r="L155" s="188"/>
      <c r="M155" s="188"/>
      <c r="N155" s="188"/>
      <c r="O155" s="146">
        <v>5754.6750000000002</v>
      </c>
    </row>
    <row r="156" spans="1:17" x14ac:dyDescent="0.25">
      <c r="A156" s="142"/>
      <c r="B156" s="188" t="s">
        <v>46</v>
      </c>
      <c r="C156" s="188"/>
      <c r="D156" s="188"/>
      <c r="E156" s="188"/>
      <c r="F156" s="188"/>
      <c r="G156" s="147">
        <v>0</v>
      </c>
      <c r="I156" s="142"/>
      <c r="J156" s="188" t="s">
        <v>46</v>
      </c>
      <c r="K156" s="188"/>
      <c r="L156" s="188"/>
      <c r="M156" s="188"/>
      <c r="N156" s="188"/>
      <c r="O156" s="147">
        <v>0</v>
      </c>
    </row>
    <row r="157" spans="1:17" ht="30" customHeight="1" x14ac:dyDescent="0.25">
      <c r="A157" s="142"/>
      <c r="B157" s="189" t="s">
        <v>41</v>
      </c>
      <c r="C157" s="189"/>
      <c r="D157" s="189"/>
      <c r="E157" s="189"/>
      <c r="F157" s="189"/>
      <c r="G157" s="149">
        <v>5142</v>
      </c>
      <c r="I157" s="142"/>
      <c r="J157" s="189" t="s">
        <v>41</v>
      </c>
      <c r="K157" s="189"/>
      <c r="L157" s="189"/>
      <c r="M157" s="189"/>
      <c r="N157" s="189"/>
      <c r="O157" s="149">
        <v>5754.6750000000002</v>
      </c>
    </row>
    <row r="158" spans="1:17" ht="6" customHeight="1" x14ac:dyDescent="0.25">
      <c r="E158"/>
      <c r="G158"/>
      <c r="M158"/>
      <c r="O158"/>
      <c r="Q158" s="45"/>
    </row>
    <row r="159" spans="1:17" ht="6" customHeight="1" x14ac:dyDescent="0.25">
      <c r="E159"/>
      <c r="G159"/>
      <c r="M159"/>
      <c r="O159"/>
    </row>
    <row r="160" spans="1:17" ht="30" customHeight="1" x14ac:dyDescent="0.25">
      <c r="A160" s="190" t="s">
        <v>75</v>
      </c>
      <c r="B160" s="188"/>
      <c r="C160" s="148">
        <v>14</v>
      </c>
      <c r="D160" s="133" t="s">
        <v>76</v>
      </c>
      <c r="E160" s="150">
        <v>45977</v>
      </c>
      <c r="F160" s="133" t="s">
        <v>77</v>
      </c>
      <c r="G160" s="150">
        <v>45991</v>
      </c>
      <c r="I160" s="190" t="s">
        <v>75</v>
      </c>
      <c r="J160" s="188"/>
      <c r="K160" s="148">
        <v>15</v>
      </c>
      <c r="L160" s="133" t="s">
        <v>76</v>
      </c>
      <c r="M160" s="150">
        <v>45977</v>
      </c>
      <c r="N160" s="133" t="s">
        <v>77</v>
      </c>
      <c r="O160" s="150">
        <v>45991</v>
      </c>
    </row>
    <row r="161" spans="1:15" ht="30" customHeight="1" x14ac:dyDescent="0.25">
      <c r="A161" s="190" t="s">
        <v>78</v>
      </c>
      <c r="B161" s="188"/>
      <c r="C161" s="191" t="s">
        <v>13</v>
      </c>
      <c r="D161" s="191"/>
      <c r="E161" s="191"/>
      <c r="F161" s="191"/>
      <c r="G161" s="191"/>
      <c r="I161" s="190" t="s">
        <v>78</v>
      </c>
      <c r="J161" s="188"/>
      <c r="K161" s="191" t="s">
        <v>67</v>
      </c>
      <c r="L161" s="191"/>
      <c r="M161" s="191"/>
      <c r="N161" s="191"/>
      <c r="O161" s="191"/>
    </row>
    <row r="162" spans="1:15" ht="18" customHeight="1" x14ac:dyDescent="0.3">
      <c r="A162" s="192" t="s">
        <v>28</v>
      </c>
      <c r="B162" s="193" t="s">
        <v>29</v>
      </c>
      <c r="C162" s="193"/>
      <c r="D162" s="193"/>
      <c r="E162" s="193" t="s">
        <v>30</v>
      </c>
      <c r="F162" s="193"/>
      <c r="G162" s="193"/>
      <c r="I162" s="192" t="s">
        <v>28</v>
      </c>
      <c r="J162" s="193" t="s">
        <v>29</v>
      </c>
      <c r="K162" s="193"/>
      <c r="L162" s="193"/>
      <c r="M162" s="193" t="s">
        <v>30</v>
      </c>
      <c r="N162" s="193"/>
      <c r="O162" s="193"/>
    </row>
    <row r="163" spans="1:15" ht="30" customHeight="1" x14ac:dyDescent="0.25">
      <c r="A163" s="192"/>
      <c r="B163" s="136" t="s">
        <v>33</v>
      </c>
      <c r="C163" s="136" t="s">
        <v>32</v>
      </c>
      <c r="D163" s="136" t="s">
        <v>31</v>
      </c>
      <c r="E163" s="136" t="s">
        <v>33</v>
      </c>
      <c r="F163" s="136" t="s">
        <v>32</v>
      </c>
      <c r="G163" s="136" t="s">
        <v>31</v>
      </c>
      <c r="I163" s="192"/>
      <c r="J163" s="136" t="s">
        <v>33</v>
      </c>
      <c r="K163" s="136" t="s">
        <v>32</v>
      </c>
      <c r="L163" s="136" t="s">
        <v>31</v>
      </c>
      <c r="M163" s="136" t="s">
        <v>33</v>
      </c>
      <c r="N163" s="136" t="s">
        <v>32</v>
      </c>
      <c r="O163" s="136" t="s">
        <v>31</v>
      </c>
    </row>
    <row r="164" spans="1:15" x14ac:dyDescent="0.25">
      <c r="A164" s="138">
        <v>45977</v>
      </c>
      <c r="B164" s="139">
        <v>1.3</v>
      </c>
      <c r="C164" s="139">
        <v>8.5</v>
      </c>
      <c r="D164" s="140">
        <v>82.875</v>
      </c>
      <c r="E164" s="139"/>
      <c r="F164" s="139"/>
      <c r="G164" s="140"/>
      <c r="I164" s="138">
        <v>45977</v>
      </c>
      <c r="J164" s="139">
        <v>11.2</v>
      </c>
      <c r="K164" s="139">
        <v>7.2</v>
      </c>
      <c r="L164" s="140">
        <v>604.79999999999995</v>
      </c>
      <c r="M164" s="139"/>
      <c r="N164" s="139"/>
      <c r="O164" s="140"/>
    </row>
    <row r="165" spans="1:15" x14ac:dyDescent="0.25">
      <c r="A165" s="138">
        <v>45978</v>
      </c>
      <c r="B165" s="139">
        <v>1.3</v>
      </c>
      <c r="C165" s="139">
        <v>8.4</v>
      </c>
      <c r="D165" s="140">
        <v>81.900000000000006</v>
      </c>
      <c r="E165" s="139"/>
      <c r="F165" s="139"/>
      <c r="G165" s="140"/>
      <c r="I165" s="138">
        <v>45978</v>
      </c>
      <c r="J165" s="139">
        <v>11.7</v>
      </c>
      <c r="K165" s="139">
        <v>7.2</v>
      </c>
      <c r="L165" s="140">
        <v>631.79999999999995</v>
      </c>
      <c r="M165" s="139"/>
      <c r="N165" s="139"/>
      <c r="O165" s="140"/>
    </row>
    <row r="166" spans="1:15" x14ac:dyDescent="0.25">
      <c r="A166" s="138">
        <v>45979</v>
      </c>
      <c r="B166" s="139">
        <v>1.3</v>
      </c>
      <c r="C166" s="139">
        <v>8.4</v>
      </c>
      <c r="D166" s="140">
        <v>81.900000000000006</v>
      </c>
      <c r="E166" s="139"/>
      <c r="F166" s="139"/>
      <c r="G166" s="140"/>
      <c r="I166" s="138">
        <v>45979</v>
      </c>
      <c r="J166" s="139">
        <v>12.4</v>
      </c>
      <c r="K166" s="139">
        <v>7.5</v>
      </c>
      <c r="L166" s="140">
        <v>697.5</v>
      </c>
      <c r="M166" s="139"/>
      <c r="N166" s="139"/>
      <c r="O166" s="140"/>
    </row>
    <row r="167" spans="1:15" x14ac:dyDescent="0.25">
      <c r="A167" s="138">
        <v>45980</v>
      </c>
      <c r="B167" s="139">
        <v>1.3</v>
      </c>
      <c r="C167" s="139">
        <v>8.4</v>
      </c>
      <c r="D167" s="140">
        <v>81.900000000000006</v>
      </c>
      <c r="E167" s="139"/>
      <c r="F167" s="139"/>
      <c r="G167" s="140"/>
      <c r="I167" s="138">
        <v>45980</v>
      </c>
      <c r="J167" s="139">
        <v>12.6</v>
      </c>
      <c r="K167" s="139">
        <v>7.2</v>
      </c>
      <c r="L167" s="140">
        <v>680.4</v>
      </c>
      <c r="M167" s="139"/>
      <c r="N167" s="139"/>
      <c r="O167" s="140"/>
    </row>
    <row r="168" spans="1:15" x14ac:dyDescent="0.25">
      <c r="A168" s="138">
        <v>45981</v>
      </c>
      <c r="B168" s="139">
        <v>1.2</v>
      </c>
      <c r="C168" s="139">
        <v>8.6</v>
      </c>
      <c r="D168" s="140">
        <v>77.399999999999991</v>
      </c>
      <c r="E168" s="139"/>
      <c r="F168" s="139"/>
      <c r="G168" s="140"/>
      <c r="I168" s="138">
        <v>45981</v>
      </c>
      <c r="J168" s="139">
        <v>11.7</v>
      </c>
      <c r="K168" s="139">
        <v>7.5</v>
      </c>
      <c r="L168" s="140">
        <v>658.125</v>
      </c>
      <c r="M168" s="139"/>
      <c r="N168" s="139"/>
      <c r="O168" s="140"/>
    </row>
    <row r="169" spans="1:15" x14ac:dyDescent="0.25">
      <c r="A169" s="138">
        <v>45982</v>
      </c>
      <c r="B169" s="139">
        <v>1.3</v>
      </c>
      <c r="C169" s="139">
        <v>8.8000000000000007</v>
      </c>
      <c r="D169" s="140">
        <v>85.8</v>
      </c>
      <c r="E169" s="139"/>
      <c r="F169" s="139"/>
      <c r="G169" s="140"/>
      <c r="I169" s="138">
        <v>45982</v>
      </c>
      <c r="J169" s="139">
        <v>11.2</v>
      </c>
      <c r="K169" s="139">
        <v>7.4</v>
      </c>
      <c r="L169" s="140">
        <v>621.59999999999991</v>
      </c>
      <c r="M169" s="139"/>
      <c r="N169" s="139"/>
      <c r="O169" s="140"/>
    </row>
    <row r="170" spans="1:15" x14ac:dyDescent="0.25">
      <c r="A170" s="138">
        <v>45983</v>
      </c>
      <c r="B170" s="139">
        <v>1.2</v>
      </c>
      <c r="C170" s="139">
        <v>8.6999999999999993</v>
      </c>
      <c r="D170" s="140">
        <v>78.3</v>
      </c>
      <c r="E170" s="139"/>
      <c r="F170" s="139"/>
      <c r="G170" s="140"/>
      <c r="I170" s="138">
        <v>45983</v>
      </c>
      <c r="J170" s="139">
        <v>11.9</v>
      </c>
      <c r="K170" s="139">
        <v>7</v>
      </c>
      <c r="L170" s="140">
        <v>624.75</v>
      </c>
      <c r="M170" s="139"/>
      <c r="N170" s="139"/>
      <c r="O170" s="140"/>
    </row>
    <row r="171" spans="1:15" x14ac:dyDescent="0.25">
      <c r="A171" s="138">
        <v>45984</v>
      </c>
      <c r="B171" s="139">
        <v>1.1000000000000001</v>
      </c>
      <c r="C171" s="139">
        <v>8.8000000000000007</v>
      </c>
      <c r="D171" s="140">
        <v>72.600000000000009</v>
      </c>
      <c r="E171" s="139"/>
      <c r="F171" s="139"/>
      <c r="G171" s="140"/>
      <c r="I171" s="138">
        <v>45984</v>
      </c>
      <c r="J171" s="139">
        <v>8.8000000000000007</v>
      </c>
      <c r="K171" s="139">
        <v>6.5</v>
      </c>
      <c r="L171" s="140">
        <v>429.00000000000006</v>
      </c>
      <c r="M171" s="139"/>
      <c r="N171" s="139"/>
      <c r="O171" s="140"/>
    </row>
    <row r="172" spans="1:15" x14ac:dyDescent="0.25">
      <c r="A172" s="138">
        <v>45985</v>
      </c>
      <c r="B172" s="139">
        <v>1.2</v>
      </c>
      <c r="C172" s="139">
        <v>8.5</v>
      </c>
      <c r="D172" s="140">
        <v>76.5</v>
      </c>
      <c r="E172" s="139"/>
      <c r="F172" s="139"/>
      <c r="G172" s="140"/>
      <c r="I172" s="138">
        <v>45985</v>
      </c>
      <c r="J172" s="139">
        <v>10.8</v>
      </c>
      <c r="K172" s="139">
        <v>7.7</v>
      </c>
      <c r="L172" s="140">
        <v>623.70000000000005</v>
      </c>
      <c r="M172" s="139"/>
      <c r="N172" s="139"/>
      <c r="O172" s="140"/>
    </row>
    <row r="173" spans="1:15" x14ac:dyDescent="0.25">
      <c r="A173" s="138">
        <v>45986</v>
      </c>
      <c r="B173" s="139">
        <v>1.1000000000000001</v>
      </c>
      <c r="C173" s="139">
        <v>9</v>
      </c>
      <c r="D173" s="140">
        <v>74.25</v>
      </c>
      <c r="E173" s="139"/>
      <c r="F173" s="139"/>
      <c r="G173" s="140"/>
      <c r="I173" s="138">
        <v>45986</v>
      </c>
      <c r="J173" s="139">
        <v>9.3000000000000007</v>
      </c>
      <c r="K173" s="139">
        <v>7.8</v>
      </c>
      <c r="L173" s="140">
        <v>544.05000000000007</v>
      </c>
      <c r="M173" s="139"/>
      <c r="N173" s="139"/>
      <c r="O173" s="140"/>
    </row>
    <row r="174" spans="1:15" x14ac:dyDescent="0.25">
      <c r="A174" s="138">
        <v>45987</v>
      </c>
      <c r="B174" s="139">
        <v>1</v>
      </c>
      <c r="C174" s="139">
        <v>8.5</v>
      </c>
      <c r="D174" s="140">
        <v>63.75</v>
      </c>
      <c r="E174" s="139"/>
      <c r="F174" s="139"/>
      <c r="G174" s="140"/>
      <c r="I174" s="138">
        <v>45987</v>
      </c>
      <c r="J174" s="139">
        <v>11.2</v>
      </c>
      <c r="K174" s="139">
        <v>7</v>
      </c>
      <c r="L174" s="140">
        <v>588</v>
      </c>
      <c r="M174" s="139"/>
      <c r="N174" s="139"/>
      <c r="O174" s="140"/>
    </row>
    <row r="175" spans="1:15" x14ac:dyDescent="0.25">
      <c r="A175" s="138">
        <v>45988</v>
      </c>
      <c r="B175" s="139">
        <v>1</v>
      </c>
      <c r="C175" s="139">
        <v>9</v>
      </c>
      <c r="D175" s="140">
        <v>67.5</v>
      </c>
      <c r="E175" s="139"/>
      <c r="F175" s="139"/>
      <c r="G175" s="140"/>
      <c r="I175" s="138">
        <v>45988</v>
      </c>
      <c r="J175" s="139">
        <v>10.5</v>
      </c>
      <c r="K175" s="139">
        <v>7</v>
      </c>
      <c r="L175" s="140">
        <v>551.25</v>
      </c>
      <c r="M175" s="139"/>
      <c r="N175" s="139"/>
      <c r="O175" s="140"/>
    </row>
    <row r="176" spans="1:15" x14ac:dyDescent="0.25">
      <c r="A176" s="138">
        <v>45989</v>
      </c>
      <c r="B176" s="139">
        <v>0.8</v>
      </c>
      <c r="C176" s="139">
        <v>9.5</v>
      </c>
      <c r="D176" s="140">
        <v>57</v>
      </c>
      <c r="E176" s="139"/>
      <c r="F176" s="139"/>
      <c r="G176" s="140"/>
      <c r="I176" s="138">
        <v>45989</v>
      </c>
      <c r="J176" s="139">
        <v>10.199999999999999</v>
      </c>
      <c r="K176" s="139">
        <v>7.4</v>
      </c>
      <c r="L176" s="140">
        <v>566.09999999999991</v>
      </c>
      <c r="M176" s="139"/>
      <c r="N176" s="139"/>
      <c r="O176" s="140"/>
    </row>
    <row r="177" spans="1:15" x14ac:dyDescent="0.25">
      <c r="A177" s="138">
        <v>45990</v>
      </c>
      <c r="B177" s="139">
        <v>0.9</v>
      </c>
      <c r="C177" s="139">
        <v>9.1999999999999993</v>
      </c>
      <c r="D177" s="140">
        <v>62.1</v>
      </c>
      <c r="E177" s="139"/>
      <c r="F177" s="139"/>
      <c r="G177" s="140"/>
      <c r="I177" s="138">
        <v>45990</v>
      </c>
      <c r="J177" s="139">
        <v>8.6999999999999993</v>
      </c>
      <c r="K177" s="139">
        <v>7</v>
      </c>
      <c r="L177" s="140">
        <v>456.74999999999994</v>
      </c>
      <c r="M177" s="139"/>
      <c r="N177" s="139"/>
      <c r="O177" s="140"/>
    </row>
    <row r="178" spans="1:15" x14ac:dyDescent="0.25">
      <c r="A178" s="138">
        <v>45991</v>
      </c>
      <c r="B178" s="139">
        <v>1</v>
      </c>
      <c r="C178" s="139">
        <v>8.5</v>
      </c>
      <c r="D178" s="140">
        <v>63.75</v>
      </c>
      <c r="E178" s="139"/>
      <c r="F178" s="139"/>
      <c r="G178" s="140"/>
      <c r="I178" s="138">
        <v>45991</v>
      </c>
      <c r="J178" s="139">
        <v>8.6999999999999993</v>
      </c>
      <c r="K178" s="139">
        <v>6.5</v>
      </c>
      <c r="L178" s="140">
        <v>424.12499999999994</v>
      </c>
      <c r="M178" s="139"/>
      <c r="N178" s="139"/>
      <c r="O178" s="140"/>
    </row>
    <row r="179" spans="1:15" x14ac:dyDescent="0.25">
      <c r="A179" s="138"/>
      <c r="B179" s="139"/>
      <c r="C179" s="139"/>
      <c r="D179" s="140"/>
      <c r="E179" s="139"/>
      <c r="F179" s="139"/>
      <c r="G179" s="140"/>
      <c r="I179" s="138"/>
      <c r="J179" s="139"/>
      <c r="K179" s="139"/>
      <c r="L179" s="140"/>
      <c r="M179" s="139"/>
      <c r="N179" s="139"/>
      <c r="O179" s="140"/>
    </row>
    <row r="180" spans="1:15" ht="1.5" customHeight="1" x14ac:dyDescent="0.25">
      <c r="A180" s="141"/>
      <c r="B180" s="142"/>
      <c r="C180" s="142"/>
      <c r="D180" s="142"/>
      <c r="E180" s="142"/>
      <c r="F180" s="142"/>
      <c r="G180" s="142"/>
      <c r="I180" s="141"/>
      <c r="J180" s="142"/>
      <c r="K180" s="142"/>
      <c r="L180" s="142"/>
      <c r="M180" s="142"/>
      <c r="N180" s="142"/>
      <c r="O180" s="142"/>
    </row>
    <row r="181" spans="1:15" x14ac:dyDescent="0.25">
      <c r="A181" s="142"/>
      <c r="B181" s="188" t="s">
        <v>39</v>
      </c>
      <c r="C181" s="188"/>
      <c r="D181" s="188"/>
      <c r="E181" s="188"/>
      <c r="F181" s="188"/>
      <c r="G181" s="145">
        <v>17</v>
      </c>
      <c r="I181" s="142"/>
      <c r="J181" s="188" t="s">
        <v>39</v>
      </c>
      <c r="K181" s="188"/>
      <c r="L181" s="188"/>
      <c r="M181" s="188"/>
      <c r="N181" s="188"/>
      <c r="O181" s="145">
        <v>160.89999999999998</v>
      </c>
    </row>
    <row r="182" spans="1:15" x14ac:dyDescent="0.25">
      <c r="A182" s="142"/>
      <c r="B182" s="188" t="s">
        <v>40</v>
      </c>
      <c r="C182" s="188"/>
      <c r="D182" s="188"/>
      <c r="E182" s="188"/>
      <c r="F182" s="188"/>
      <c r="G182" s="146">
        <v>1107.5250000000001</v>
      </c>
      <c r="I182" s="142"/>
      <c r="J182" s="188" t="s">
        <v>40</v>
      </c>
      <c r="K182" s="188"/>
      <c r="L182" s="188"/>
      <c r="M182" s="188"/>
      <c r="N182" s="188"/>
      <c r="O182" s="146">
        <v>8701.9500000000007</v>
      </c>
    </row>
    <row r="183" spans="1:15" x14ac:dyDescent="0.25">
      <c r="A183" s="142"/>
      <c r="B183" s="188" t="s">
        <v>46</v>
      </c>
      <c r="C183" s="188"/>
      <c r="D183" s="188"/>
      <c r="E183" s="188"/>
      <c r="F183" s="188"/>
      <c r="G183" s="147">
        <v>0</v>
      </c>
      <c r="I183" s="142"/>
      <c r="J183" s="188" t="s">
        <v>46</v>
      </c>
      <c r="K183" s="188"/>
      <c r="L183" s="188"/>
      <c r="M183" s="188"/>
      <c r="N183" s="188"/>
      <c r="O183" s="147">
        <v>0</v>
      </c>
    </row>
    <row r="184" spans="1:15" ht="30" customHeight="1" x14ac:dyDescent="0.25">
      <c r="A184" s="142"/>
      <c r="B184" s="189" t="s">
        <v>41</v>
      </c>
      <c r="C184" s="189"/>
      <c r="D184" s="189"/>
      <c r="E184" s="189"/>
      <c r="F184" s="189"/>
      <c r="G184" s="149">
        <v>1107.5250000000001</v>
      </c>
      <c r="I184" s="142"/>
      <c r="J184" s="189" t="s">
        <v>41</v>
      </c>
      <c r="K184" s="189"/>
      <c r="L184" s="189"/>
      <c r="M184" s="189"/>
      <c r="N184" s="189"/>
      <c r="O184" s="149">
        <v>8701.9500000000007</v>
      </c>
    </row>
    <row r="185" spans="1:15" ht="35.1" customHeight="1" x14ac:dyDescent="0.25">
      <c r="E185"/>
      <c r="G185"/>
      <c r="M185"/>
      <c r="O185"/>
    </row>
    <row r="186" spans="1:15" ht="30" customHeight="1" x14ac:dyDescent="0.25">
      <c r="A186" s="190" t="s">
        <v>75</v>
      </c>
      <c r="B186" s="188"/>
      <c r="C186" s="148">
        <v>16</v>
      </c>
      <c r="D186" s="133" t="s">
        <v>76</v>
      </c>
      <c r="E186" s="150">
        <v>45977</v>
      </c>
      <c r="F186" s="133" t="s">
        <v>77</v>
      </c>
      <c r="G186" s="150">
        <v>45991</v>
      </c>
      <c r="I186" s="190" t="s">
        <v>75</v>
      </c>
      <c r="J186" s="188"/>
      <c r="K186" s="148">
        <v>17</v>
      </c>
      <c r="L186" s="133" t="s">
        <v>76</v>
      </c>
      <c r="M186" s="150">
        <v>45977</v>
      </c>
      <c r="N186" s="133" t="s">
        <v>77</v>
      </c>
      <c r="O186" s="150">
        <v>45991</v>
      </c>
    </row>
    <row r="187" spans="1:15" ht="30" customHeight="1" x14ac:dyDescent="0.25">
      <c r="A187" s="190" t="s">
        <v>78</v>
      </c>
      <c r="B187" s="188"/>
      <c r="C187" s="191" t="s">
        <v>82</v>
      </c>
      <c r="D187" s="191"/>
      <c r="E187" s="191"/>
      <c r="F187" s="191"/>
      <c r="G187" s="191"/>
      <c r="I187" s="190" t="s">
        <v>78</v>
      </c>
      <c r="J187" s="188"/>
      <c r="K187" s="191" t="s">
        <v>86</v>
      </c>
      <c r="L187" s="191"/>
      <c r="M187" s="191"/>
      <c r="N187" s="191"/>
      <c r="O187" s="191"/>
    </row>
    <row r="188" spans="1:15" ht="18" customHeight="1" x14ac:dyDescent="0.3">
      <c r="A188" s="192" t="s">
        <v>28</v>
      </c>
      <c r="B188" s="193" t="s">
        <v>29</v>
      </c>
      <c r="C188" s="193"/>
      <c r="D188" s="193"/>
      <c r="E188" s="193" t="s">
        <v>30</v>
      </c>
      <c r="F188" s="193"/>
      <c r="G188" s="193"/>
      <c r="I188" s="192" t="s">
        <v>28</v>
      </c>
      <c r="J188" s="193" t="s">
        <v>29</v>
      </c>
      <c r="K188" s="193"/>
      <c r="L188" s="193"/>
      <c r="M188" s="193" t="s">
        <v>30</v>
      </c>
      <c r="N188" s="193"/>
      <c r="O188" s="193"/>
    </row>
    <row r="189" spans="1:15" ht="30" customHeight="1" x14ac:dyDescent="0.25">
      <c r="A189" s="192"/>
      <c r="B189" s="136" t="s">
        <v>33</v>
      </c>
      <c r="C189" s="136" t="s">
        <v>32</v>
      </c>
      <c r="D189" s="136" t="s">
        <v>31</v>
      </c>
      <c r="E189" s="136" t="s">
        <v>33</v>
      </c>
      <c r="F189" s="136" t="s">
        <v>32</v>
      </c>
      <c r="G189" s="136" t="s">
        <v>31</v>
      </c>
      <c r="I189" s="192"/>
      <c r="J189" s="136" t="s">
        <v>33</v>
      </c>
      <c r="K189" s="136" t="s">
        <v>32</v>
      </c>
      <c r="L189" s="136" t="s">
        <v>31</v>
      </c>
      <c r="M189" s="136" t="s">
        <v>33</v>
      </c>
      <c r="N189" s="136" t="s">
        <v>32</v>
      </c>
      <c r="O189" s="136" t="s">
        <v>31</v>
      </c>
    </row>
    <row r="190" spans="1:15" x14ac:dyDescent="0.25">
      <c r="A190" s="138">
        <v>45977</v>
      </c>
      <c r="B190" s="139">
        <v>1.9</v>
      </c>
      <c r="C190" s="139">
        <v>6.8</v>
      </c>
      <c r="D190" s="140">
        <v>96.899999999999991</v>
      </c>
      <c r="E190" s="139">
        <v>3</v>
      </c>
      <c r="F190" s="139">
        <v>6.2</v>
      </c>
      <c r="G190" s="140">
        <v>139.5</v>
      </c>
      <c r="I190" s="138">
        <v>45977</v>
      </c>
      <c r="J190" s="139">
        <v>8.3000000000000007</v>
      </c>
      <c r="K190" s="139">
        <v>6.2</v>
      </c>
      <c r="L190" s="140">
        <v>385.95000000000005</v>
      </c>
      <c r="M190" s="139">
        <v>8.5</v>
      </c>
      <c r="N190" s="139">
        <v>6.3</v>
      </c>
      <c r="O190" s="140">
        <v>401.625</v>
      </c>
    </row>
    <row r="191" spans="1:15" x14ac:dyDescent="0.25">
      <c r="A191" s="138">
        <v>45978</v>
      </c>
      <c r="B191" s="139">
        <v>4.0999999999999996</v>
      </c>
      <c r="C191" s="139">
        <v>8.6</v>
      </c>
      <c r="D191" s="140">
        <v>264.45</v>
      </c>
      <c r="E191" s="139">
        <v>2.7</v>
      </c>
      <c r="F191" s="139">
        <v>6.3</v>
      </c>
      <c r="G191" s="140">
        <v>127.575</v>
      </c>
      <c r="I191" s="138">
        <v>45978</v>
      </c>
      <c r="J191" s="139">
        <v>9.9</v>
      </c>
      <c r="K191" s="139">
        <v>7.4</v>
      </c>
      <c r="L191" s="140">
        <v>549.45000000000005</v>
      </c>
      <c r="M191" s="139">
        <v>6.2</v>
      </c>
      <c r="N191" s="139">
        <v>6</v>
      </c>
      <c r="O191" s="140">
        <v>279</v>
      </c>
    </row>
    <row r="192" spans="1:15" x14ac:dyDescent="0.25">
      <c r="A192" s="138">
        <v>45979</v>
      </c>
      <c r="B192" s="139">
        <v>2.5</v>
      </c>
      <c r="C192" s="139">
        <v>6.4</v>
      </c>
      <c r="D192" s="140">
        <v>120</v>
      </c>
      <c r="E192" s="139">
        <v>2.8</v>
      </c>
      <c r="F192" s="139">
        <v>6.4</v>
      </c>
      <c r="G192" s="140">
        <v>134.39999999999998</v>
      </c>
      <c r="I192" s="138">
        <v>45979</v>
      </c>
      <c r="J192" s="139">
        <v>9</v>
      </c>
      <c r="K192" s="139">
        <v>7</v>
      </c>
      <c r="L192" s="140">
        <v>472.5</v>
      </c>
      <c r="M192" s="139">
        <v>7</v>
      </c>
      <c r="N192" s="139">
        <v>5.7</v>
      </c>
      <c r="O192" s="140">
        <v>299.25</v>
      </c>
    </row>
    <row r="193" spans="1:15" x14ac:dyDescent="0.25">
      <c r="A193" s="138">
        <v>45980</v>
      </c>
      <c r="B193" s="139">
        <v>2.6</v>
      </c>
      <c r="C193" s="139">
        <v>6.6</v>
      </c>
      <c r="D193" s="140">
        <v>128.70000000000002</v>
      </c>
      <c r="E193" s="139">
        <v>2.7</v>
      </c>
      <c r="F193" s="139">
        <v>6.6</v>
      </c>
      <c r="G193" s="140">
        <v>133.65</v>
      </c>
      <c r="I193" s="138">
        <v>45980</v>
      </c>
      <c r="J193" s="139">
        <v>10.1</v>
      </c>
      <c r="K193" s="139">
        <v>6.4</v>
      </c>
      <c r="L193" s="140">
        <v>484.79999999999995</v>
      </c>
      <c r="M193" s="139">
        <v>7</v>
      </c>
      <c r="N193" s="139">
        <v>5.5</v>
      </c>
      <c r="O193" s="140">
        <v>288.75</v>
      </c>
    </row>
    <row r="194" spans="1:15" x14ac:dyDescent="0.25">
      <c r="A194" s="138">
        <v>45981</v>
      </c>
      <c r="B194" s="139">
        <v>2.5</v>
      </c>
      <c r="C194" s="139">
        <v>7.2</v>
      </c>
      <c r="D194" s="140">
        <v>135</v>
      </c>
      <c r="E194" s="139">
        <v>2.8</v>
      </c>
      <c r="F194" s="139">
        <v>6.4</v>
      </c>
      <c r="G194" s="140">
        <v>134.39999999999998</v>
      </c>
      <c r="I194" s="138">
        <v>45981</v>
      </c>
      <c r="J194" s="139">
        <v>9.4</v>
      </c>
      <c r="K194" s="139">
        <v>6.6</v>
      </c>
      <c r="L194" s="140">
        <v>465.3</v>
      </c>
      <c r="M194" s="139">
        <v>6.1</v>
      </c>
      <c r="N194" s="139">
        <v>5.5</v>
      </c>
      <c r="O194" s="140">
        <v>251.62499999999997</v>
      </c>
    </row>
    <row r="195" spans="1:15" x14ac:dyDescent="0.25">
      <c r="A195" s="138">
        <v>45982</v>
      </c>
      <c r="B195" s="139">
        <v>2.8</v>
      </c>
      <c r="C195" s="139">
        <v>7.2</v>
      </c>
      <c r="D195" s="140">
        <v>151.19999999999999</v>
      </c>
      <c r="E195" s="139">
        <v>2.4</v>
      </c>
      <c r="F195" s="139">
        <v>6.4</v>
      </c>
      <c r="G195" s="140">
        <v>115.19999999999999</v>
      </c>
      <c r="I195" s="138">
        <v>45982</v>
      </c>
      <c r="J195" s="139">
        <v>10.8</v>
      </c>
      <c r="K195" s="139">
        <v>6.6</v>
      </c>
      <c r="L195" s="140">
        <v>534.6</v>
      </c>
      <c r="M195" s="139">
        <v>6.5</v>
      </c>
      <c r="N195" s="139">
        <v>6</v>
      </c>
      <c r="O195" s="140">
        <v>292.5</v>
      </c>
    </row>
    <row r="196" spans="1:15" x14ac:dyDescent="0.25">
      <c r="A196" s="138">
        <v>45983</v>
      </c>
      <c r="B196" s="139">
        <v>2.4</v>
      </c>
      <c r="C196" s="139">
        <v>7.3</v>
      </c>
      <c r="D196" s="140">
        <v>131.4</v>
      </c>
      <c r="E196" s="139">
        <v>2.2999999999999998</v>
      </c>
      <c r="F196" s="139">
        <v>6.5</v>
      </c>
      <c r="G196" s="140">
        <v>112.12499999999999</v>
      </c>
      <c r="I196" s="138">
        <v>45983</v>
      </c>
      <c r="J196" s="139">
        <v>9.8000000000000007</v>
      </c>
      <c r="K196" s="139">
        <v>6.8</v>
      </c>
      <c r="L196" s="140">
        <v>499.8</v>
      </c>
      <c r="M196" s="139">
        <v>6.5</v>
      </c>
      <c r="N196" s="139">
        <v>5.3</v>
      </c>
      <c r="O196" s="140">
        <v>258.375</v>
      </c>
    </row>
    <row r="197" spans="1:15" x14ac:dyDescent="0.25">
      <c r="A197" s="138">
        <v>45984</v>
      </c>
      <c r="B197" s="139">
        <v>2.5</v>
      </c>
      <c r="C197" s="139">
        <v>7</v>
      </c>
      <c r="D197" s="140">
        <v>131.25</v>
      </c>
      <c r="E197" s="139">
        <v>2.4</v>
      </c>
      <c r="F197" s="139">
        <v>6.6</v>
      </c>
      <c r="G197" s="140">
        <v>118.8</v>
      </c>
      <c r="I197" s="138">
        <v>45984</v>
      </c>
      <c r="J197" s="139">
        <v>11.3</v>
      </c>
      <c r="K197" s="139">
        <v>6.2</v>
      </c>
      <c r="L197" s="140">
        <v>525.45000000000005</v>
      </c>
      <c r="M197" s="139">
        <v>8.1</v>
      </c>
      <c r="N197" s="139">
        <v>6</v>
      </c>
      <c r="O197" s="140">
        <v>364.5</v>
      </c>
    </row>
    <row r="198" spans="1:15" x14ac:dyDescent="0.25">
      <c r="A198" s="138">
        <v>45985</v>
      </c>
      <c r="B198" s="139">
        <v>2.5</v>
      </c>
      <c r="C198" s="139">
        <v>7</v>
      </c>
      <c r="D198" s="140">
        <v>131.25</v>
      </c>
      <c r="E198" s="139">
        <v>2.7</v>
      </c>
      <c r="F198" s="139">
        <v>6</v>
      </c>
      <c r="G198" s="140">
        <v>121.50000000000001</v>
      </c>
      <c r="I198" s="138">
        <v>45985</v>
      </c>
      <c r="J198" s="139">
        <v>9.3000000000000007</v>
      </c>
      <c r="K198" s="139">
        <v>6.4</v>
      </c>
      <c r="L198" s="140">
        <v>446.40000000000003</v>
      </c>
      <c r="M198" s="139">
        <v>8.3000000000000007</v>
      </c>
      <c r="N198" s="139">
        <v>5</v>
      </c>
      <c r="O198" s="140">
        <v>311.25</v>
      </c>
    </row>
    <row r="199" spans="1:15" x14ac:dyDescent="0.25">
      <c r="A199" s="138">
        <v>45986</v>
      </c>
      <c r="B199" s="139">
        <v>2.8</v>
      </c>
      <c r="C199" s="139">
        <v>6.9</v>
      </c>
      <c r="D199" s="140">
        <v>144.89999999999998</v>
      </c>
      <c r="E199" s="139">
        <v>2.5</v>
      </c>
      <c r="F199" s="139">
        <v>6.6</v>
      </c>
      <c r="G199" s="140">
        <v>123.75</v>
      </c>
      <c r="I199" s="138">
        <v>45986</v>
      </c>
      <c r="J199" s="139">
        <v>9.1</v>
      </c>
      <c r="K199" s="139">
        <v>6.2</v>
      </c>
      <c r="L199" s="140">
        <v>423.15</v>
      </c>
      <c r="M199" s="139">
        <v>7.5</v>
      </c>
      <c r="N199" s="139">
        <v>5.5</v>
      </c>
      <c r="O199" s="140">
        <v>309.375</v>
      </c>
    </row>
    <row r="200" spans="1:15" x14ac:dyDescent="0.25">
      <c r="A200" s="138">
        <v>45987</v>
      </c>
      <c r="B200" s="139">
        <v>2.6</v>
      </c>
      <c r="C200" s="139">
        <v>7.2</v>
      </c>
      <c r="D200" s="140">
        <v>140.4</v>
      </c>
      <c r="E200" s="139">
        <v>2.2000000000000002</v>
      </c>
      <c r="F200" s="139">
        <v>6.7</v>
      </c>
      <c r="G200" s="140">
        <v>110.55000000000001</v>
      </c>
      <c r="I200" s="138">
        <v>45987</v>
      </c>
      <c r="J200" s="139">
        <v>10.9</v>
      </c>
      <c r="K200" s="139">
        <v>6.8</v>
      </c>
      <c r="L200" s="140">
        <v>555.9</v>
      </c>
      <c r="M200" s="139">
        <v>7.7</v>
      </c>
      <c r="N200" s="139">
        <v>5.5</v>
      </c>
      <c r="O200" s="140">
        <v>317.625</v>
      </c>
    </row>
    <row r="201" spans="1:15" x14ac:dyDescent="0.25">
      <c r="A201" s="138">
        <v>45988</v>
      </c>
      <c r="B201" s="139">
        <v>2.4</v>
      </c>
      <c r="C201" s="139">
        <v>7.3</v>
      </c>
      <c r="D201" s="140">
        <v>131.4</v>
      </c>
      <c r="E201" s="139">
        <v>2.1</v>
      </c>
      <c r="F201" s="139">
        <v>6.7</v>
      </c>
      <c r="G201" s="140">
        <v>105.52500000000001</v>
      </c>
      <c r="I201" s="138">
        <v>45988</v>
      </c>
      <c r="J201" s="139">
        <v>11.1</v>
      </c>
      <c r="K201" s="139">
        <v>6.3</v>
      </c>
      <c r="L201" s="140">
        <v>524.47500000000002</v>
      </c>
      <c r="M201" s="139">
        <v>8.4</v>
      </c>
      <c r="N201" s="139">
        <v>5.5</v>
      </c>
      <c r="O201" s="140">
        <v>346.5</v>
      </c>
    </row>
    <row r="202" spans="1:15" x14ac:dyDescent="0.25">
      <c r="A202" s="138">
        <v>45989</v>
      </c>
      <c r="B202" s="139">
        <v>2.2999999999999998</v>
      </c>
      <c r="C202" s="139">
        <v>7.3</v>
      </c>
      <c r="D202" s="140">
        <v>125.925</v>
      </c>
      <c r="E202" s="139">
        <v>2.2000000000000002</v>
      </c>
      <c r="F202" s="139">
        <v>6.4</v>
      </c>
      <c r="G202" s="140">
        <v>105.60000000000001</v>
      </c>
      <c r="I202" s="138">
        <v>45989</v>
      </c>
      <c r="J202" s="139">
        <v>10.6</v>
      </c>
      <c r="K202" s="139">
        <v>6.6</v>
      </c>
      <c r="L202" s="140">
        <v>524.69999999999993</v>
      </c>
      <c r="M202" s="139">
        <v>6.8</v>
      </c>
      <c r="N202" s="139">
        <v>6.2</v>
      </c>
      <c r="O202" s="140">
        <v>316.2</v>
      </c>
    </row>
    <row r="203" spans="1:15" x14ac:dyDescent="0.25">
      <c r="A203" s="138">
        <v>45990</v>
      </c>
      <c r="B203" s="139">
        <v>2.4</v>
      </c>
      <c r="C203" s="139">
        <v>7</v>
      </c>
      <c r="D203" s="140">
        <v>126</v>
      </c>
      <c r="E203" s="139">
        <v>2.5</v>
      </c>
      <c r="F203" s="139">
        <v>6.4</v>
      </c>
      <c r="G203" s="140">
        <v>120</v>
      </c>
      <c r="I203" s="138">
        <v>45990</v>
      </c>
      <c r="J203" s="139">
        <v>8.9</v>
      </c>
      <c r="K203" s="139">
        <v>6.2</v>
      </c>
      <c r="L203" s="140">
        <v>413.85</v>
      </c>
      <c r="M203" s="139">
        <v>8.5</v>
      </c>
      <c r="N203" s="139">
        <v>6</v>
      </c>
      <c r="O203" s="140">
        <v>382.5</v>
      </c>
    </row>
    <row r="204" spans="1:15" x14ac:dyDescent="0.25">
      <c r="A204" s="138">
        <v>45991</v>
      </c>
      <c r="B204" s="139">
        <v>2.4</v>
      </c>
      <c r="C204" s="139">
        <v>6.5</v>
      </c>
      <c r="D204" s="140">
        <v>117</v>
      </c>
      <c r="E204" s="139">
        <v>2.5</v>
      </c>
      <c r="F204" s="139">
        <v>6</v>
      </c>
      <c r="G204" s="140">
        <v>112.5</v>
      </c>
      <c r="I204" s="138">
        <v>45991</v>
      </c>
      <c r="J204" s="139">
        <v>11.1</v>
      </c>
      <c r="K204" s="139">
        <v>6</v>
      </c>
      <c r="L204" s="140">
        <v>499.5</v>
      </c>
      <c r="M204" s="139">
        <v>7.4</v>
      </c>
      <c r="N204" s="139">
        <v>5.5</v>
      </c>
      <c r="O204" s="140">
        <v>305.25</v>
      </c>
    </row>
    <row r="205" spans="1:15" x14ac:dyDescent="0.25">
      <c r="A205" s="138"/>
      <c r="B205" s="139"/>
      <c r="C205" s="139"/>
      <c r="D205" s="140"/>
      <c r="E205" s="139"/>
      <c r="F205" s="139"/>
      <c r="G205" s="140"/>
      <c r="I205" s="138"/>
      <c r="J205" s="139"/>
      <c r="K205" s="139"/>
      <c r="L205" s="140"/>
      <c r="M205" s="139"/>
      <c r="N205" s="139"/>
      <c r="O205" s="140"/>
    </row>
    <row r="206" spans="1:15" ht="2.25" customHeight="1" x14ac:dyDescent="0.25">
      <c r="A206" s="141"/>
      <c r="B206" s="142"/>
      <c r="C206" s="142"/>
      <c r="D206" s="142"/>
      <c r="E206" s="142"/>
      <c r="F206" s="142"/>
      <c r="G206" s="142"/>
      <c r="I206" s="141"/>
      <c r="J206" s="142"/>
      <c r="K206" s="142"/>
      <c r="L206" s="142"/>
      <c r="M206" s="142"/>
      <c r="N206" s="142"/>
      <c r="O206" s="142"/>
    </row>
    <row r="207" spans="1:15" x14ac:dyDescent="0.25">
      <c r="A207" s="142"/>
      <c r="B207" s="188" t="s">
        <v>39</v>
      </c>
      <c r="C207" s="188"/>
      <c r="D207" s="188"/>
      <c r="E207" s="188"/>
      <c r="F207" s="188"/>
      <c r="G207" s="145">
        <v>76.5</v>
      </c>
      <c r="I207" s="142"/>
      <c r="J207" s="188" t="s">
        <v>39</v>
      </c>
      <c r="K207" s="188"/>
      <c r="L207" s="188"/>
      <c r="M207" s="188"/>
      <c r="N207" s="188"/>
      <c r="O207" s="145">
        <v>260.10000000000002</v>
      </c>
    </row>
    <row r="208" spans="1:15" x14ac:dyDescent="0.25">
      <c r="A208" s="142"/>
      <c r="B208" s="188" t="s">
        <v>40</v>
      </c>
      <c r="C208" s="188"/>
      <c r="D208" s="188"/>
      <c r="E208" s="188"/>
      <c r="F208" s="188"/>
      <c r="G208" s="146">
        <v>3890.8500000000004</v>
      </c>
      <c r="I208" s="142"/>
      <c r="J208" s="188" t="s">
        <v>40</v>
      </c>
      <c r="K208" s="188"/>
      <c r="L208" s="188"/>
      <c r="M208" s="188"/>
      <c r="N208" s="188"/>
      <c r="O208" s="146">
        <v>12030.15</v>
      </c>
    </row>
    <row r="209" spans="1:17" x14ac:dyDescent="0.25">
      <c r="A209" s="142"/>
      <c r="B209" s="188" t="s">
        <v>46</v>
      </c>
      <c r="C209" s="188"/>
      <c r="D209" s="188"/>
      <c r="E209" s="188"/>
      <c r="F209" s="188"/>
      <c r="G209" s="147">
        <v>0</v>
      </c>
      <c r="I209" s="142"/>
      <c r="J209" s="188" t="s">
        <v>46</v>
      </c>
      <c r="K209" s="188"/>
      <c r="L209" s="188"/>
      <c r="M209" s="188"/>
      <c r="N209" s="188"/>
      <c r="O209" s="147">
        <v>0</v>
      </c>
    </row>
    <row r="210" spans="1:17" ht="30" customHeight="1" x14ac:dyDescent="0.25">
      <c r="A210" s="142"/>
      <c r="B210" s="189" t="s">
        <v>41</v>
      </c>
      <c r="C210" s="189"/>
      <c r="D210" s="189"/>
      <c r="E210" s="189"/>
      <c r="F210" s="189"/>
      <c r="G210" s="149">
        <v>3890.8500000000004</v>
      </c>
      <c r="I210" s="142"/>
      <c r="J210" s="189" t="s">
        <v>41</v>
      </c>
      <c r="K210" s="189"/>
      <c r="L210" s="189"/>
      <c r="M210" s="189"/>
      <c r="N210" s="189"/>
      <c r="O210" s="149">
        <v>12030.15</v>
      </c>
    </row>
    <row r="211" spans="1:17" ht="6.75" customHeight="1" x14ac:dyDescent="0.25">
      <c r="E211"/>
      <c r="G211"/>
      <c r="M211"/>
      <c r="O211"/>
      <c r="Q211" s="45"/>
    </row>
    <row r="212" spans="1:17" ht="6.75" customHeight="1" x14ac:dyDescent="0.25">
      <c r="E212"/>
      <c r="G212"/>
      <c r="M212"/>
      <c r="O212"/>
    </row>
    <row r="213" spans="1:17" ht="30" customHeight="1" x14ac:dyDescent="0.25">
      <c r="E213"/>
      <c r="G213"/>
      <c r="M213"/>
      <c r="O213"/>
    </row>
    <row r="214" spans="1:17" ht="30" customHeight="1" x14ac:dyDescent="0.25">
      <c r="E214"/>
      <c r="G214"/>
      <c r="M214"/>
      <c r="O214"/>
    </row>
    <row r="215" spans="1:17" ht="18" customHeight="1" x14ac:dyDescent="0.25">
      <c r="E215"/>
      <c r="G215"/>
      <c r="M215"/>
      <c r="O215"/>
    </row>
    <row r="216" spans="1:17" ht="30" customHeight="1" x14ac:dyDescent="0.25">
      <c r="E216"/>
      <c r="G216"/>
      <c r="M216"/>
      <c r="O216"/>
    </row>
    <row r="217" spans="1:17" x14ac:dyDescent="0.25">
      <c r="E217"/>
      <c r="G217"/>
      <c r="M217"/>
      <c r="O217"/>
    </row>
    <row r="218" spans="1:17" x14ac:dyDescent="0.25">
      <c r="E218"/>
      <c r="G218"/>
      <c r="M218"/>
      <c r="O218"/>
    </row>
    <row r="219" spans="1:17" x14ac:dyDescent="0.25">
      <c r="E219"/>
      <c r="G219"/>
      <c r="M219"/>
      <c r="O219"/>
    </row>
    <row r="220" spans="1:17" x14ac:dyDescent="0.25">
      <c r="E220"/>
      <c r="G220"/>
      <c r="M220"/>
      <c r="O220"/>
    </row>
    <row r="221" spans="1:17" x14ac:dyDescent="0.25">
      <c r="E221"/>
      <c r="G221"/>
      <c r="M221"/>
      <c r="O221"/>
    </row>
    <row r="222" spans="1:17" x14ac:dyDescent="0.25">
      <c r="E222"/>
      <c r="G222"/>
      <c r="M222"/>
      <c r="O222"/>
    </row>
    <row r="223" spans="1:17" x14ac:dyDescent="0.25">
      <c r="E223"/>
      <c r="G223"/>
      <c r="M223"/>
      <c r="O223"/>
    </row>
    <row r="224" spans="1:17" x14ac:dyDescent="0.25">
      <c r="E224"/>
      <c r="G224"/>
      <c r="M224"/>
      <c r="O224"/>
    </row>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ht="35.1" customHeight="1" x14ac:dyDescent="0.25"/>
    <row r="239" customFormat="1" ht="27.75" customHeight="1" x14ac:dyDescent="0.25"/>
    <row r="240" customFormat="1" ht="27.75" customHeight="1" x14ac:dyDescent="0.25"/>
    <row r="241" customFormat="1" x14ac:dyDescent="0.25"/>
    <row r="242" customFormat="1" ht="26.25" customHeigh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spans="5:17" x14ac:dyDescent="0.25">
      <c r="E257"/>
      <c r="G257"/>
      <c r="M257"/>
      <c r="O257"/>
    </row>
    <row r="258" spans="5:17" x14ac:dyDescent="0.25">
      <c r="E258"/>
      <c r="G258"/>
      <c r="M258"/>
      <c r="O258"/>
    </row>
    <row r="259" spans="5:17" x14ac:dyDescent="0.25">
      <c r="E259"/>
      <c r="G259"/>
      <c r="M259"/>
      <c r="O259"/>
    </row>
    <row r="260" spans="5:17" x14ac:dyDescent="0.25">
      <c r="E260"/>
      <c r="G260"/>
      <c r="M260"/>
      <c r="O260"/>
    </row>
    <row r="261" spans="5:17" x14ac:dyDescent="0.25">
      <c r="E261"/>
      <c r="G261"/>
      <c r="M261"/>
      <c r="O261"/>
    </row>
    <row r="262" spans="5:17" x14ac:dyDescent="0.25">
      <c r="E262"/>
      <c r="G262"/>
      <c r="M262"/>
      <c r="O262"/>
    </row>
    <row r="263" spans="5:17" ht="30" customHeight="1" x14ac:dyDescent="0.25">
      <c r="E263"/>
      <c r="G263"/>
      <c r="M263"/>
      <c r="O263"/>
    </row>
    <row r="264" spans="5:17" ht="5.25" customHeight="1" x14ac:dyDescent="0.25">
      <c r="E264"/>
      <c r="G264"/>
      <c r="M264"/>
      <c r="O264"/>
      <c r="Q264" s="45"/>
    </row>
    <row r="265" spans="5:17" ht="5.25" customHeight="1" x14ac:dyDescent="0.25">
      <c r="E265"/>
      <c r="G265"/>
      <c r="M265"/>
      <c r="O265"/>
    </row>
    <row r="266" spans="5:17" x14ac:dyDescent="0.25">
      <c r="E266"/>
      <c r="G266"/>
      <c r="M266"/>
      <c r="O266"/>
    </row>
    <row r="267" spans="5:17" x14ac:dyDescent="0.25">
      <c r="E267"/>
      <c r="G267"/>
      <c r="M267"/>
      <c r="O267"/>
    </row>
    <row r="268" spans="5:17" x14ac:dyDescent="0.25">
      <c r="E268"/>
      <c r="G268"/>
      <c r="M268"/>
      <c r="O268"/>
    </row>
    <row r="269" spans="5:17" x14ac:dyDescent="0.25">
      <c r="E269"/>
      <c r="G269"/>
      <c r="M269"/>
      <c r="O269"/>
    </row>
    <row r="270" spans="5:17" x14ac:dyDescent="0.25">
      <c r="E270"/>
      <c r="G270"/>
      <c r="M270"/>
      <c r="O270"/>
    </row>
    <row r="271" spans="5:17" x14ac:dyDescent="0.25">
      <c r="E271"/>
      <c r="G271"/>
      <c r="M271"/>
      <c r="O271"/>
    </row>
    <row r="272" spans="5:17" x14ac:dyDescent="0.25">
      <c r="E272"/>
      <c r="G272"/>
      <c r="M272"/>
      <c r="O272"/>
    </row>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sheetData>
  <mergeCells count="160">
    <mergeCell ref="K2:O2"/>
    <mergeCell ref="B22:F22"/>
    <mergeCell ref="J22:N22"/>
    <mergeCell ref="B23:F23"/>
    <mergeCell ref="J23:N23"/>
    <mergeCell ref="A1:B1"/>
    <mergeCell ref="I1:J1"/>
    <mergeCell ref="A2:B2"/>
    <mergeCell ref="C2:G2"/>
    <mergeCell ref="I2:J2"/>
    <mergeCell ref="B25:F25"/>
    <mergeCell ref="J25:N25"/>
    <mergeCell ref="B24:F24"/>
    <mergeCell ref="J24:N24"/>
    <mergeCell ref="A3:A4"/>
    <mergeCell ref="B3:D3"/>
    <mergeCell ref="E3:G3"/>
    <mergeCell ref="I3:I4"/>
    <mergeCell ref="J3:L3"/>
    <mergeCell ref="M3:O3"/>
    <mergeCell ref="I27:J27"/>
    <mergeCell ref="I28:J28"/>
    <mergeCell ref="J49:N49"/>
    <mergeCell ref="J50:N50"/>
    <mergeCell ref="J51:N51"/>
    <mergeCell ref="A27:B27"/>
    <mergeCell ref="A28:B28"/>
    <mergeCell ref="C28:G28"/>
    <mergeCell ref="A29:A30"/>
    <mergeCell ref="B29:D29"/>
    <mergeCell ref="E29:G29"/>
    <mergeCell ref="K28:O28"/>
    <mergeCell ref="I29:I30"/>
    <mergeCell ref="J29:L29"/>
    <mergeCell ref="M29:O29"/>
    <mergeCell ref="J48:N48"/>
    <mergeCell ref="B48:F48"/>
    <mergeCell ref="B49:F49"/>
    <mergeCell ref="B50:F50"/>
    <mergeCell ref="B51:F51"/>
    <mergeCell ref="I54:J54"/>
    <mergeCell ref="I55:J55"/>
    <mergeCell ref="J76:N76"/>
    <mergeCell ref="J77:N77"/>
    <mergeCell ref="J78:N78"/>
    <mergeCell ref="A54:B54"/>
    <mergeCell ref="A55:B55"/>
    <mergeCell ref="C55:G55"/>
    <mergeCell ref="A56:A57"/>
    <mergeCell ref="B56:D56"/>
    <mergeCell ref="E56:G56"/>
    <mergeCell ref="K55:O55"/>
    <mergeCell ref="I56:I57"/>
    <mergeCell ref="J56:L56"/>
    <mergeCell ref="M56:O56"/>
    <mergeCell ref="J75:N75"/>
    <mergeCell ref="B75:F75"/>
    <mergeCell ref="B76:F76"/>
    <mergeCell ref="B77:F77"/>
    <mergeCell ref="B78:F78"/>
    <mergeCell ref="I80:J80"/>
    <mergeCell ref="I81:J81"/>
    <mergeCell ref="J102:N102"/>
    <mergeCell ref="J103:N103"/>
    <mergeCell ref="J104:N104"/>
    <mergeCell ref="A80:B80"/>
    <mergeCell ref="A81:B81"/>
    <mergeCell ref="C81:G81"/>
    <mergeCell ref="A82:A83"/>
    <mergeCell ref="B82:D82"/>
    <mergeCell ref="E82:G82"/>
    <mergeCell ref="K81:O81"/>
    <mergeCell ref="I82:I83"/>
    <mergeCell ref="J82:L82"/>
    <mergeCell ref="M82:O82"/>
    <mergeCell ref="J101:N101"/>
    <mergeCell ref="B101:F101"/>
    <mergeCell ref="B102:F102"/>
    <mergeCell ref="B103:F103"/>
    <mergeCell ref="B104:F104"/>
    <mergeCell ref="I107:J107"/>
    <mergeCell ref="I108:J108"/>
    <mergeCell ref="J129:N129"/>
    <mergeCell ref="J130:N130"/>
    <mergeCell ref="J131:N131"/>
    <mergeCell ref="A107:B107"/>
    <mergeCell ref="A108:B108"/>
    <mergeCell ref="C108:G108"/>
    <mergeCell ref="A109:A110"/>
    <mergeCell ref="B109:D109"/>
    <mergeCell ref="E109:G109"/>
    <mergeCell ref="K108:O108"/>
    <mergeCell ref="I109:I110"/>
    <mergeCell ref="J109:L109"/>
    <mergeCell ref="M109:O109"/>
    <mergeCell ref="J128:N128"/>
    <mergeCell ref="B128:F128"/>
    <mergeCell ref="B129:F129"/>
    <mergeCell ref="B130:F130"/>
    <mergeCell ref="B131:F131"/>
    <mergeCell ref="I133:J133"/>
    <mergeCell ref="I134:J134"/>
    <mergeCell ref="J155:N155"/>
    <mergeCell ref="J156:N156"/>
    <mergeCell ref="J157:N157"/>
    <mergeCell ref="A133:B133"/>
    <mergeCell ref="A134:B134"/>
    <mergeCell ref="C134:G134"/>
    <mergeCell ref="A135:A136"/>
    <mergeCell ref="B135:D135"/>
    <mergeCell ref="E135:G135"/>
    <mergeCell ref="K134:O134"/>
    <mergeCell ref="I135:I136"/>
    <mergeCell ref="J135:L135"/>
    <mergeCell ref="M135:O135"/>
    <mergeCell ref="J154:N154"/>
    <mergeCell ref="B154:F154"/>
    <mergeCell ref="B155:F155"/>
    <mergeCell ref="B156:F156"/>
    <mergeCell ref="B157:F157"/>
    <mergeCell ref="I160:J160"/>
    <mergeCell ref="I161:J161"/>
    <mergeCell ref="J182:N182"/>
    <mergeCell ref="J183:N183"/>
    <mergeCell ref="J184:N184"/>
    <mergeCell ref="A160:B160"/>
    <mergeCell ref="A161:B161"/>
    <mergeCell ref="C161:G161"/>
    <mergeCell ref="A162:A163"/>
    <mergeCell ref="B162:D162"/>
    <mergeCell ref="E162:G162"/>
    <mergeCell ref="K161:O161"/>
    <mergeCell ref="I162:I163"/>
    <mergeCell ref="J162:L162"/>
    <mergeCell ref="M162:O162"/>
    <mergeCell ref="J181:N181"/>
    <mergeCell ref="B181:F181"/>
    <mergeCell ref="B182:F182"/>
    <mergeCell ref="B183:F183"/>
    <mergeCell ref="B184:F184"/>
    <mergeCell ref="I186:J186"/>
    <mergeCell ref="I187:J187"/>
    <mergeCell ref="J208:N208"/>
    <mergeCell ref="J209:N209"/>
    <mergeCell ref="J210:N210"/>
    <mergeCell ref="A186:B186"/>
    <mergeCell ref="A187:B187"/>
    <mergeCell ref="C187:G187"/>
    <mergeCell ref="A188:A189"/>
    <mergeCell ref="B188:D188"/>
    <mergeCell ref="E188:G188"/>
    <mergeCell ref="K187:O187"/>
    <mergeCell ref="I188:I189"/>
    <mergeCell ref="J188:L188"/>
    <mergeCell ref="M188:O188"/>
    <mergeCell ref="J207:N207"/>
    <mergeCell ref="B207:F207"/>
    <mergeCell ref="B208:F208"/>
    <mergeCell ref="B209:F209"/>
    <mergeCell ref="B210:F210"/>
  </mergeCells>
  <printOptions horizontalCentered="1" verticalCentered="1"/>
  <pageMargins left="0" right="0" top="0.25" bottom="0.25" header="0" footer="0"/>
  <pageSetup paperSize="9" scale="82"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ADA91-BFDC-45F7-BA29-6A26BFE01E5B}">
  <sheetPr codeName="Sheet8">
    <pageSetUpPr fitToPage="1"/>
  </sheetPr>
  <dimension ref="A1:Q265"/>
  <sheetViews>
    <sheetView showGridLines="0" zoomScaleNormal="100" workbookViewId="0">
      <selection activeCell="J30" sqref="J30"/>
    </sheetView>
  </sheetViews>
  <sheetFormatPr defaultRowHeight="15" x14ac:dyDescent="0.25"/>
  <cols>
    <col min="1" max="1" width="3.7109375" customWidth="1"/>
    <col min="2" max="2" width="6.42578125" bestFit="1" customWidth="1"/>
    <col min="3" max="3" width="5.7109375" customWidth="1"/>
    <col min="4" max="4" width="8.140625" bestFit="1" customWidth="1"/>
    <col min="5" max="5" width="6.42578125" bestFit="1" customWidth="1"/>
    <col min="6" max="6" width="5.5703125" customWidth="1"/>
    <col min="7" max="7" width="10.42578125" customWidth="1"/>
    <col min="8" max="8" width="9.140625" customWidth="1"/>
    <col min="9" max="9" width="3.85546875" customWidth="1"/>
    <col min="10" max="10" width="6.42578125" bestFit="1" customWidth="1"/>
    <col min="11" max="11" width="5.85546875" bestFit="1" customWidth="1"/>
    <col min="12" max="12" width="8.140625" bestFit="1" customWidth="1"/>
    <col min="13" max="13" width="6.42578125" bestFit="1" customWidth="1"/>
    <col min="14" max="14" width="5.85546875" bestFit="1" customWidth="1"/>
    <col min="15" max="15" width="11" customWidth="1"/>
    <col min="16" max="16" width="2.7109375" customWidth="1"/>
  </cols>
  <sheetData>
    <row r="1" spans="1:16" x14ac:dyDescent="0.25">
      <c r="A1" s="200" t="s">
        <v>34</v>
      </c>
      <c r="B1" s="200"/>
      <c r="C1" s="51">
        <v>1</v>
      </c>
      <c r="D1" s="46" t="s">
        <v>36</v>
      </c>
      <c r="E1" s="198">
        <v>45793</v>
      </c>
      <c r="F1" s="198"/>
      <c r="G1" s="198"/>
      <c r="I1" s="200" t="s">
        <v>34</v>
      </c>
      <c r="J1" s="200"/>
      <c r="K1" s="51">
        <v>2</v>
      </c>
      <c r="L1" s="46" t="s">
        <v>36</v>
      </c>
      <c r="M1" s="198">
        <v>45793</v>
      </c>
      <c r="N1" s="198"/>
      <c r="O1" s="198"/>
    </row>
    <row r="2" spans="1:16" x14ac:dyDescent="0.25">
      <c r="A2" s="200" t="s">
        <v>35</v>
      </c>
      <c r="B2" s="200"/>
      <c r="C2" s="199" t="s">
        <v>2</v>
      </c>
      <c r="D2" s="199"/>
      <c r="E2" s="199"/>
      <c r="F2" s="199"/>
      <c r="G2" s="199"/>
      <c r="I2" s="200" t="s">
        <v>35</v>
      </c>
      <c r="J2" s="200"/>
      <c r="K2" s="199" t="s">
        <v>3</v>
      </c>
      <c r="L2" s="199"/>
      <c r="M2" s="199"/>
      <c r="N2" s="199"/>
      <c r="O2" s="199"/>
    </row>
    <row r="3" spans="1:16" x14ac:dyDescent="0.25">
      <c r="A3" s="197" t="s">
        <v>28</v>
      </c>
      <c r="B3" s="196" t="s">
        <v>29</v>
      </c>
      <c r="C3" s="196"/>
      <c r="D3" s="196"/>
      <c r="E3" s="196" t="s">
        <v>30</v>
      </c>
      <c r="F3" s="196"/>
      <c r="G3" s="196"/>
      <c r="I3" s="197" t="s">
        <v>28</v>
      </c>
      <c r="J3" s="196" t="s">
        <v>29</v>
      </c>
      <c r="K3" s="196"/>
      <c r="L3" s="196"/>
      <c r="M3" s="196" t="s">
        <v>30</v>
      </c>
      <c r="N3" s="196"/>
      <c r="O3" s="196"/>
    </row>
    <row r="4" spans="1:16" s="27" customFormat="1" ht="27.75" customHeight="1" x14ac:dyDescent="0.25">
      <c r="A4" s="197"/>
      <c r="B4" s="47" t="s">
        <v>33</v>
      </c>
      <c r="C4" s="47" t="s">
        <v>32</v>
      </c>
      <c r="D4" s="47" t="s">
        <v>31</v>
      </c>
      <c r="E4" s="47" t="s">
        <v>33</v>
      </c>
      <c r="F4" s="47" t="s">
        <v>32</v>
      </c>
      <c r="G4" s="47" t="s">
        <v>31</v>
      </c>
      <c r="H4"/>
      <c r="I4" s="197"/>
      <c r="J4" s="47" t="s">
        <v>33</v>
      </c>
      <c r="K4" s="47" t="s">
        <v>32</v>
      </c>
      <c r="L4" s="47" t="s">
        <v>31</v>
      </c>
      <c r="M4" s="47" t="s">
        <v>33</v>
      </c>
      <c r="N4" s="47" t="s">
        <v>32</v>
      </c>
      <c r="O4" s="47" t="s">
        <v>31</v>
      </c>
      <c r="P4"/>
    </row>
    <row r="5" spans="1:16" x14ac:dyDescent="0.25">
      <c r="A5" s="48">
        <v>45793</v>
      </c>
      <c r="B5" s="49">
        <v>6.1</v>
      </c>
      <c r="C5" s="49">
        <v>7.6</v>
      </c>
      <c r="D5" s="50">
        <v>347.7</v>
      </c>
      <c r="E5" s="49">
        <v>6</v>
      </c>
      <c r="F5" s="49">
        <v>7.2</v>
      </c>
      <c r="G5" s="50">
        <v>324</v>
      </c>
      <c r="I5" s="48">
        <v>45793</v>
      </c>
      <c r="J5" s="49">
        <v>3.4</v>
      </c>
      <c r="K5" s="49">
        <v>7.5</v>
      </c>
      <c r="L5" s="50">
        <v>191.25</v>
      </c>
      <c r="M5" s="49">
        <v>0.8</v>
      </c>
      <c r="N5" s="49">
        <v>6.5</v>
      </c>
      <c r="O5" s="50">
        <v>39</v>
      </c>
    </row>
    <row r="6" spans="1:16" x14ac:dyDescent="0.25">
      <c r="A6" s="48">
        <v>45794</v>
      </c>
      <c r="B6" s="49">
        <v>5.7</v>
      </c>
      <c r="C6" s="49">
        <v>7.6</v>
      </c>
      <c r="D6" s="50">
        <v>324.90000000000003</v>
      </c>
      <c r="E6" s="49">
        <v>4.8</v>
      </c>
      <c r="F6" s="49">
        <v>7.6</v>
      </c>
      <c r="G6" s="50">
        <v>273.59999999999997</v>
      </c>
      <c r="I6" s="48">
        <v>45794</v>
      </c>
      <c r="J6" s="49">
        <v>5</v>
      </c>
      <c r="K6" s="49">
        <v>8.6999999999999993</v>
      </c>
      <c r="L6" s="50">
        <v>326.25</v>
      </c>
      <c r="M6" s="49"/>
      <c r="N6" s="49"/>
      <c r="O6" s="50"/>
    </row>
    <row r="7" spans="1:16" x14ac:dyDescent="0.25">
      <c r="A7" s="48">
        <v>45795</v>
      </c>
      <c r="B7" s="49">
        <v>5.6</v>
      </c>
      <c r="C7" s="49">
        <v>7.6</v>
      </c>
      <c r="D7" s="50">
        <v>319.2</v>
      </c>
      <c r="E7" s="49">
        <v>6.3</v>
      </c>
      <c r="F7" s="49">
        <v>6.5</v>
      </c>
      <c r="G7" s="50">
        <v>307.125</v>
      </c>
      <c r="I7" s="48">
        <v>45795</v>
      </c>
      <c r="J7" s="49">
        <v>3.1</v>
      </c>
      <c r="K7" s="49">
        <v>8.1</v>
      </c>
      <c r="L7" s="50">
        <v>188.32500000000002</v>
      </c>
      <c r="M7" s="49">
        <v>2.2000000000000002</v>
      </c>
      <c r="N7" s="49">
        <v>6.5</v>
      </c>
      <c r="O7" s="50">
        <v>107.25000000000001</v>
      </c>
    </row>
    <row r="8" spans="1:16" x14ac:dyDescent="0.25">
      <c r="A8" s="48">
        <v>45796</v>
      </c>
      <c r="B8" s="49">
        <v>6.6</v>
      </c>
      <c r="C8" s="49">
        <v>7.6</v>
      </c>
      <c r="D8" s="50">
        <v>376.2</v>
      </c>
      <c r="E8" s="49">
        <v>5.7</v>
      </c>
      <c r="F8" s="49">
        <v>6.9</v>
      </c>
      <c r="G8" s="50">
        <v>294.97500000000002</v>
      </c>
      <c r="I8" s="48">
        <v>45796</v>
      </c>
      <c r="J8" s="49">
        <v>6.2</v>
      </c>
      <c r="K8" s="49">
        <v>7.9</v>
      </c>
      <c r="L8" s="50">
        <v>367.35</v>
      </c>
      <c r="M8" s="49">
        <v>2.2000000000000002</v>
      </c>
      <c r="N8" s="49">
        <v>6.5</v>
      </c>
      <c r="O8" s="50">
        <v>107.25000000000001</v>
      </c>
    </row>
    <row r="9" spans="1:16" x14ac:dyDescent="0.25">
      <c r="A9" s="48">
        <v>45797</v>
      </c>
      <c r="B9" s="49">
        <v>5.4</v>
      </c>
      <c r="C9" s="49">
        <v>7.3</v>
      </c>
      <c r="D9" s="50">
        <v>295.65000000000003</v>
      </c>
      <c r="E9" s="49">
        <v>6.8</v>
      </c>
      <c r="F9" s="49">
        <v>6.8</v>
      </c>
      <c r="G9" s="50">
        <v>346.8</v>
      </c>
      <c r="I9" s="48">
        <v>45797</v>
      </c>
      <c r="J9" s="49">
        <v>3.4</v>
      </c>
      <c r="K9" s="49">
        <v>7.6</v>
      </c>
      <c r="L9" s="50">
        <v>193.79999999999998</v>
      </c>
      <c r="M9" s="49">
        <v>3.2</v>
      </c>
      <c r="N9" s="49">
        <v>7</v>
      </c>
      <c r="O9" s="50">
        <v>168</v>
      </c>
    </row>
    <row r="10" spans="1:16" x14ac:dyDescent="0.25">
      <c r="A10" s="48">
        <v>45798</v>
      </c>
      <c r="B10" s="49">
        <v>5.9</v>
      </c>
      <c r="C10" s="49">
        <v>7.6</v>
      </c>
      <c r="D10" s="50">
        <v>336.3</v>
      </c>
      <c r="E10" s="49">
        <v>6.1</v>
      </c>
      <c r="F10" s="49">
        <v>7.5</v>
      </c>
      <c r="G10" s="50">
        <v>343.125</v>
      </c>
      <c r="I10" s="48">
        <v>45798</v>
      </c>
      <c r="J10" s="49">
        <v>4.2</v>
      </c>
      <c r="K10" s="49">
        <v>7</v>
      </c>
      <c r="L10" s="50">
        <v>220.5</v>
      </c>
      <c r="M10" s="49">
        <v>1.3</v>
      </c>
      <c r="N10" s="49">
        <v>6.2</v>
      </c>
      <c r="O10" s="50">
        <v>60.45</v>
      </c>
    </row>
    <row r="11" spans="1:16" x14ac:dyDescent="0.25">
      <c r="A11" s="48">
        <v>45799</v>
      </c>
      <c r="B11" s="49">
        <v>5.8</v>
      </c>
      <c r="C11" s="49">
        <v>7.6</v>
      </c>
      <c r="D11" s="50">
        <v>330.59999999999997</v>
      </c>
      <c r="E11" s="49">
        <v>6.1</v>
      </c>
      <c r="F11" s="49">
        <v>7.2</v>
      </c>
      <c r="G11" s="50">
        <v>329.4</v>
      </c>
      <c r="I11" s="48">
        <v>45799</v>
      </c>
      <c r="J11" s="49">
        <v>3.7</v>
      </c>
      <c r="K11" s="49">
        <v>6.5</v>
      </c>
      <c r="L11" s="50">
        <v>180.375</v>
      </c>
      <c r="M11" s="49">
        <v>2.8</v>
      </c>
      <c r="N11" s="49">
        <v>7.1</v>
      </c>
      <c r="O11" s="50">
        <v>149.1</v>
      </c>
    </row>
    <row r="12" spans="1:16" x14ac:dyDescent="0.25">
      <c r="A12" s="48">
        <v>45800</v>
      </c>
      <c r="B12" s="49">
        <v>6.5</v>
      </c>
      <c r="C12" s="49">
        <v>7.4</v>
      </c>
      <c r="D12" s="50">
        <v>360.75</v>
      </c>
      <c r="E12" s="49">
        <v>6.6</v>
      </c>
      <c r="F12" s="49">
        <v>7.8</v>
      </c>
      <c r="G12" s="50">
        <v>386.09999999999997</v>
      </c>
      <c r="I12" s="48">
        <v>45800</v>
      </c>
      <c r="J12" s="49">
        <v>2.9</v>
      </c>
      <c r="K12" s="49">
        <v>7.5</v>
      </c>
      <c r="L12" s="50">
        <v>163.125</v>
      </c>
      <c r="M12" s="49"/>
      <c r="N12" s="49"/>
      <c r="O12" s="50"/>
    </row>
    <row r="13" spans="1:16" x14ac:dyDescent="0.25">
      <c r="A13" s="48">
        <v>45801</v>
      </c>
      <c r="B13" s="49">
        <v>6.4</v>
      </c>
      <c r="C13" s="49">
        <v>7.6</v>
      </c>
      <c r="D13" s="50">
        <v>364.8</v>
      </c>
      <c r="E13" s="49">
        <v>6.8</v>
      </c>
      <c r="F13" s="49">
        <v>7.7</v>
      </c>
      <c r="G13" s="50">
        <v>392.7</v>
      </c>
      <c r="I13" s="48">
        <v>45801</v>
      </c>
      <c r="J13" s="49">
        <v>3.7</v>
      </c>
      <c r="K13" s="49">
        <v>7</v>
      </c>
      <c r="L13" s="50">
        <v>194.25</v>
      </c>
      <c r="M13" s="49"/>
      <c r="N13" s="49"/>
      <c r="O13" s="50"/>
    </row>
    <row r="14" spans="1:16" x14ac:dyDescent="0.25">
      <c r="A14" s="48">
        <v>45802</v>
      </c>
      <c r="B14" s="49">
        <v>6.1</v>
      </c>
      <c r="C14" s="49">
        <v>8</v>
      </c>
      <c r="D14" s="50">
        <v>366</v>
      </c>
      <c r="E14" s="49">
        <v>6.4</v>
      </c>
      <c r="F14" s="49">
        <v>7.9</v>
      </c>
      <c r="G14" s="50">
        <v>379.20000000000005</v>
      </c>
      <c r="I14" s="48">
        <v>45802</v>
      </c>
      <c r="J14" s="49">
        <v>3.1</v>
      </c>
      <c r="K14" s="49">
        <v>8.4</v>
      </c>
      <c r="L14" s="50">
        <v>195.3</v>
      </c>
      <c r="M14" s="49"/>
      <c r="N14" s="49"/>
      <c r="O14" s="50"/>
    </row>
    <row r="15" spans="1:16" x14ac:dyDescent="0.25">
      <c r="A15" s="48">
        <v>45803</v>
      </c>
      <c r="B15" s="49">
        <v>6.6</v>
      </c>
      <c r="C15" s="49">
        <v>8</v>
      </c>
      <c r="D15" s="50">
        <v>396</v>
      </c>
      <c r="E15" s="49">
        <v>6.9</v>
      </c>
      <c r="F15" s="49">
        <v>7.2</v>
      </c>
      <c r="G15" s="50">
        <v>372.6</v>
      </c>
      <c r="I15" s="48">
        <v>45803</v>
      </c>
      <c r="J15" s="49">
        <v>2.6</v>
      </c>
      <c r="K15" s="49">
        <v>7.5</v>
      </c>
      <c r="L15" s="50">
        <v>146.25</v>
      </c>
      <c r="M15" s="49"/>
      <c r="N15" s="49"/>
      <c r="O15" s="50"/>
    </row>
    <row r="16" spans="1:16" x14ac:dyDescent="0.25">
      <c r="A16" s="48">
        <v>45804</v>
      </c>
      <c r="B16" s="49">
        <v>7.7</v>
      </c>
      <c r="C16" s="49">
        <v>8.1999999999999993</v>
      </c>
      <c r="D16" s="50">
        <v>473.55</v>
      </c>
      <c r="E16" s="49">
        <v>5.9</v>
      </c>
      <c r="F16" s="49">
        <v>8.1999999999999993</v>
      </c>
      <c r="G16" s="50">
        <v>362.85</v>
      </c>
      <c r="I16" s="48">
        <v>45804</v>
      </c>
      <c r="J16" s="49">
        <v>5.9</v>
      </c>
      <c r="K16" s="49">
        <v>7.5</v>
      </c>
      <c r="L16" s="50">
        <v>331.875</v>
      </c>
      <c r="M16" s="49">
        <v>1.5</v>
      </c>
      <c r="N16" s="49">
        <v>7</v>
      </c>
      <c r="O16" s="50">
        <v>78.75</v>
      </c>
    </row>
    <row r="17" spans="1:15" x14ac:dyDescent="0.25">
      <c r="A17" s="48">
        <v>45805</v>
      </c>
      <c r="B17" s="49">
        <v>6.7</v>
      </c>
      <c r="C17" s="49">
        <v>7.6</v>
      </c>
      <c r="D17" s="50">
        <v>381.90000000000003</v>
      </c>
      <c r="E17" s="49">
        <v>6.7</v>
      </c>
      <c r="F17" s="49">
        <v>7.5</v>
      </c>
      <c r="G17" s="50">
        <v>376.875</v>
      </c>
      <c r="I17" s="48">
        <v>45805</v>
      </c>
      <c r="J17" s="49">
        <v>2.8</v>
      </c>
      <c r="K17" s="49">
        <v>7.5</v>
      </c>
      <c r="L17" s="50">
        <v>157.5</v>
      </c>
      <c r="M17" s="49"/>
      <c r="N17" s="49"/>
      <c r="O17" s="50"/>
    </row>
    <row r="18" spans="1:15" x14ac:dyDescent="0.25">
      <c r="A18" s="48">
        <v>45806</v>
      </c>
      <c r="B18" s="49">
        <v>7</v>
      </c>
      <c r="C18" s="49">
        <v>7.7</v>
      </c>
      <c r="D18" s="50">
        <v>404.25</v>
      </c>
      <c r="E18" s="49">
        <v>5.8</v>
      </c>
      <c r="F18" s="49">
        <v>6.7</v>
      </c>
      <c r="G18" s="50">
        <v>291.45</v>
      </c>
      <c r="I18" s="48">
        <v>45806</v>
      </c>
      <c r="J18" s="49">
        <v>4.0999999999999996</v>
      </c>
      <c r="K18" s="49">
        <v>8.1999999999999993</v>
      </c>
      <c r="L18" s="50">
        <v>252.14999999999998</v>
      </c>
      <c r="M18" s="49">
        <v>1.6</v>
      </c>
      <c r="N18" s="49">
        <v>6.7</v>
      </c>
      <c r="O18" s="50">
        <v>80.400000000000006</v>
      </c>
    </row>
    <row r="19" spans="1:15" x14ac:dyDescent="0.25">
      <c r="A19" s="48">
        <v>45807</v>
      </c>
      <c r="B19" s="49">
        <v>9.6999999999999993</v>
      </c>
      <c r="C19" s="49">
        <v>8</v>
      </c>
      <c r="D19" s="50">
        <v>582</v>
      </c>
      <c r="E19" s="49">
        <v>5.5</v>
      </c>
      <c r="F19" s="49">
        <v>8.5</v>
      </c>
      <c r="G19" s="50">
        <v>350.625</v>
      </c>
      <c r="I19" s="48">
        <v>45807</v>
      </c>
      <c r="J19" s="49">
        <v>4.0999999999999996</v>
      </c>
      <c r="K19" s="49">
        <v>7.8</v>
      </c>
      <c r="L19" s="50">
        <v>239.84999999999997</v>
      </c>
      <c r="M19" s="49">
        <v>2.1</v>
      </c>
      <c r="N19" s="49">
        <v>7</v>
      </c>
      <c r="O19" s="50">
        <v>110.25</v>
      </c>
    </row>
    <row r="20" spans="1:15" x14ac:dyDescent="0.25">
      <c r="A20" s="48">
        <v>45808</v>
      </c>
      <c r="B20" s="49">
        <v>5.6</v>
      </c>
      <c r="C20" s="49">
        <v>8</v>
      </c>
      <c r="D20" s="50">
        <v>336</v>
      </c>
      <c r="E20" s="49">
        <v>7</v>
      </c>
      <c r="F20" s="49">
        <v>7.8</v>
      </c>
      <c r="G20" s="50">
        <v>409.5</v>
      </c>
      <c r="I20" s="48">
        <v>45808</v>
      </c>
      <c r="J20" s="49">
        <v>4.5</v>
      </c>
      <c r="K20" s="49">
        <v>7.6</v>
      </c>
      <c r="L20" s="50">
        <v>256.5</v>
      </c>
      <c r="M20" s="49">
        <v>1.1000000000000001</v>
      </c>
      <c r="N20" s="49">
        <v>6.8</v>
      </c>
      <c r="O20" s="50">
        <v>56.1</v>
      </c>
    </row>
    <row r="21" spans="1:15" ht="2.25" customHeight="1" x14ac:dyDescent="0.25">
      <c r="A21" s="44"/>
      <c r="B21" s="21"/>
      <c r="C21" s="21"/>
      <c r="D21" s="21"/>
      <c r="E21" s="21"/>
      <c r="F21" s="21"/>
      <c r="G21" s="21"/>
      <c r="I21" s="44"/>
      <c r="J21" s="21"/>
      <c r="K21" s="21"/>
      <c r="L21" s="21"/>
      <c r="M21" s="21"/>
      <c r="N21" s="21"/>
      <c r="O21" s="21"/>
    </row>
    <row r="22" spans="1:15" x14ac:dyDescent="0.25">
      <c r="A22" s="21"/>
      <c r="B22" s="194" t="s">
        <v>39</v>
      </c>
      <c r="C22" s="194"/>
      <c r="D22" s="194"/>
      <c r="E22" s="194"/>
      <c r="F22" s="194"/>
      <c r="G22" s="98">
        <v>202.8</v>
      </c>
      <c r="I22" s="21"/>
      <c r="J22" s="194" t="s">
        <v>39</v>
      </c>
      <c r="K22" s="194"/>
      <c r="L22" s="194"/>
      <c r="M22" s="194"/>
      <c r="N22" s="194"/>
      <c r="O22" s="98">
        <v>81.5</v>
      </c>
    </row>
    <row r="23" spans="1:15" x14ac:dyDescent="0.25">
      <c r="A23" s="21"/>
      <c r="B23" s="194" t="s">
        <v>40</v>
      </c>
      <c r="C23" s="194"/>
      <c r="D23" s="194"/>
      <c r="E23" s="194"/>
      <c r="F23" s="194"/>
      <c r="G23" s="109">
        <v>11536.724999999999</v>
      </c>
      <c r="I23" s="21"/>
      <c r="J23" s="194" t="s">
        <v>40</v>
      </c>
      <c r="K23" s="194"/>
      <c r="L23" s="194"/>
      <c r="M23" s="194"/>
      <c r="N23" s="194"/>
      <c r="O23" s="109">
        <v>4561.2</v>
      </c>
    </row>
    <row r="24" spans="1:15" x14ac:dyDescent="0.25">
      <c r="A24" s="21"/>
      <c r="B24" s="194" t="s">
        <v>46</v>
      </c>
      <c r="C24" s="194"/>
      <c r="D24" s="194"/>
      <c r="E24" s="194"/>
      <c r="F24" s="194"/>
      <c r="G24" s="104">
        <v>0</v>
      </c>
      <c r="I24" s="21"/>
      <c r="J24" s="194" t="s">
        <v>46</v>
      </c>
      <c r="K24" s="194"/>
      <c r="L24" s="194"/>
      <c r="M24" s="194"/>
      <c r="N24" s="194"/>
      <c r="O24" s="104">
        <v>0</v>
      </c>
    </row>
    <row r="25" spans="1:15" ht="15.75" x14ac:dyDescent="0.25">
      <c r="A25" s="21"/>
      <c r="B25" s="195" t="s">
        <v>41</v>
      </c>
      <c r="C25" s="195"/>
      <c r="D25" s="195"/>
      <c r="E25" s="195"/>
      <c r="F25" s="195"/>
      <c r="G25" s="108">
        <v>11536.724999999999</v>
      </c>
      <c r="I25" s="21"/>
      <c r="J25" s="195" t="s">
        <v>41</v>
      </c>
      <c r="K25" s="195"/>
      <c r="L25" s="195"/>
      <c r="M25" s="195"/>
      <c r="N25" s="195"/>
      <c r="O25" s="108">
        <v>4561.2</v>
      </c>
    </row>
    <row r="26" spans="1:15" ht="7.5" customHeight="1" x14ac:dyDescent="0.25"/>
    <row r="27" spans="1:15" x14ac:dyDescent="0.25">
      <c r="A27" s="200" t="s">
        <v>34</v>
      </c>
      <c r="B27" s="200"/>
      <c r="C27" s="51">
        <v>3</v>
      </c>
      <c r="D27" s="46" t="s">
        <v>36</v>
      </c>
      <c r="E27" s="198">
        <v>45793</v>
      </c>
      <c r="F27" s="198"/>
      <c r="G27" s="198"/>
      <c r="I27" s="200" t="s">
        <v>34</v>
      </c>
      <c r="J27" s="200"/>
      <c r="K27" s="51">
        <v>4</v>
      </c>
      <c r="L27" s="46" t="s">
        <v>36</v>
      </c>
      <c r="M27" s="198">
        <v>45793</v>
      </c>
      <c r="N27" s="198"/>
      <c r="O27" s="198"/>
    </row>
    <row r="28" spans="1:15" x14ac:dyDescent="0.25">
      <c r="A28" s="200" t="s">
        <v>35</v>
      </c>
      <c r="B28" s="200"/>
      <c r="C28" s="199" t="s">
        <v>4</v>
      </c>
      <c r="D28" s="199"/>
      <c r="E28" s="199"/>
      <c r="F28" s="199"/>
      <c r="G28" s="199"/>
      <c r="I28" s="200" t="s">
        <v>35</v>
      </c>
      <c r="J28" s="200"/>
      <c r="K28" s="199" t="s">
        <v>5</v>
      </c>
      <c r="L28" s="199"/>
      <c r="M28" s="199"/>
      <c r="N28" s="199"/>
      <c r="O28" s="199"/>
    </row>
    <row r="29" spans="1:15" x14ac:dyDescent="0.25">
      <c r="A29" s="197" t="s">
        <v>28</v>
      </c>
      <c r="B29" s="196" t="s">
        <v>29</v>
      </c>
      <c r="C29" s="196"/>
      <c r="D29" s="196"/>
      <c r="E29" s="196" t="s">
        <v>30</v>
      </c>
      <c r="F29" s="196"/>
      <c r="G29" s="196"/>
      <c r="I29" s="197" t="s">
        <v>28</v>
      </c>
      <c r="J29" s="196" t="s">
        <v>29</v>
      </c>
      <c r="K29" s="196"/>
      <c r="L29" s="196"/>
      <c r="M29" s="196" t="s">
        <v>30</v>
      </c>
      <c r="N29" s="196"/>
      <c r="O29" s="196"/>
    </row>
    <row r="30" spans="1:15" ht="27.75" customHeight="1" x14ac:dyDescent="0.25">
      <c r="A30" s="197"/>
      <c r="B30" s="47" t="s">
        <v>33</v>
      </c>
      <c r="C30" s="47" t="s">
        <v>32</v>
      </c>
      <c r="D30" s="47" t="s">
        <v>31</v>
      </c>
      <c r="E30" s="47" t="s">
        <v>33</v>
      </c>
      <c r="F30" s="47" t="s">
        <v>32</v>
      </c>
      <c r="G30" s="47" t="s">
        <v>31</v>
      </c>
      <c r="I30" s="197"/>
      <c r="J30" s="47" t="s">
        <v>33</v>
      </c>
      <c r="K30" s="47" t="s">
        <v>32</v>
      </c>
      <c r="L30" s="47" t="s">
        <v>31</v>
      </c>
      <c r="M30" s="47" t="s">
        <v>33</v>
      </c>
      <c r="N30" s="47" t="s">
        <v>32</v>
      </c>
      <c r="O30" s="47" t="s">
        <v>31</v>
      </c>
    </row>
    <row r="31" spans="1:15" x14ac:dyDescent="0.25">
      <c r="A31" s="48">
        <v>45793</v>
      </c>
      <c r="B31" s="49">
        <v>1.6</v>
      </c>
      <c r="C31" s="49">
        <v>6.3</v>
      </c>
      <c r="D31" s="50">
        <v>75.600000000000009</v>
      </c>
      <c r="E31" s="49">
        <v>1.2</v>
      </c>
      <c r="F31" s="49">
        <v>6</v>
      </c>
      <c r="G31" s="50">
        <v>54</v>
      </c>
      <c r="I31" s="48">
        <v>45793</v>
      </c>
      <c r="J31" s="49">
        <v>5.7</v>
      </c>
      <c r="K31" s="49">
        <v>7.6</v>
      </c>
      <c r="L31" s="50">
        <v>324.90000000000003</v>
      </c>
      <c r="M31" s="49">
        <v>6.3</v>
      </c>
      <c r="N31" s="49">
        <v>6.2</v>
      </c>
      <c r="O31" s="50">
        <v>292.95</v>
      </c>
    </row>
    <row r="32" spans="1:15" x14ac:dyDescent="0.25">
      <c r="A32" s="48">
        <v>45794</v>
      </c>
      <c r="B32" s="49">
        <v>1.8</v>
      </c>
      <c r="C32" s="49">
        <v>6.5</v>
      </c>
      <c r="D32" s="50">
        <v>87.75</v>
      </c>
      <c r="E32" s="49">
        <v>1.1000000000000001</v>
      </c>
      <c r="F32" s="49">
        <v>6.4</v>
      </c>
      <c r="G32" s="50">
        <v>52.800000000000004</v>
      </c>
      <c r="I32" s="48">
        <v>45794</v>
      </c>
      <c r="J32" s="49">
        <v>7.4</v>
      </c>
      <c r="K32" s="49">
        <v>6.8</v>
      </c>
      <c r="L32" s="50">
        <v>377.40000000000003</v>
      </c>
      <c r="M32" s="49">
        <v>5.0999999999999996</v>
      </c>
      <c r="N32" s="49">
        <v>6.3</v>
      </c>
      <c r="O32" s="50">
        <v>240.97499999999999</v>
      </c>
    </row>
    <row r="33" spans="1:15" x14ac:dyDescent="0.25">
      <c r="A33" s="48">
        <v>45795</v>
      </c>
      <c r="B33" s="49">
        <v>1.7</v>
      </c>
      <c r="C33" s="49">
        <v>6.2</v>
      </c>
      <c r="D33" s="50">
        <v>79.05</v>
      </c>
      <c r="E33" s="49">
        <v>1.2</v>
      </c>
      <c r="F33" s="49">
        <v>6.6</v>
      </c>
      <c r="G33" s="50">
        <v>59.4</v>
      </c>
      <c r="I33" s="48">
        <v>45795</v>
      </c>
      <c r="J33" s="49">
        <v>7.4</v>
      </c>
      <c r="K33" s="49">
        <v>6.8</v>
      </c>
      <c r="L33" s="50">
        <v>377.40000000000003</v>
      </c>
      <c r="M33" s="49">
        <v>6.3</v>
      </c>
      <c r="N33" s="49">
        <v>6.7</v>
      </c>
      <c r="O33" s="50">
        <v>316.57499999999999</v>
      </c>
    </row>
    <row r="34" spans="1:15" x14ac:dyDescent="0.25">
      <c r="A34" s="48">
        <v>45796</v>
      </c>
      <c r="B34" s="49">
        <v>1.6</v>
      </c>
      <c r="C34" s="49">
        <v>6.2</v>
      </c>
      <c r="D34" s="50">
        <v>74.400000000000006</v>
      </c>
      <c r="E34" s="49">
        <v>1.2</v>
      </c>
      <c r="F34" s="49">
        <v>6.5</v>
      </c>
      <c r="G34" s="50">
        <v>58.5</v>
      </c>
      <c r="I34" s="48">
        <v>45796</v>
      </c>
      <c r="J34" s="49">
        <v>7.1</v>
      </c>
      <c r="K34" s="49">
        <v>7</v>
      </c>
      <c r="L34" s="50">
        <v>372.75</v>
      </c>
      <c r="M34" s="49">
        <v>5.8</v>
      </c>
      <c r="N34" s="49">
        <v>6.9</v>
      </c>
      <c r="O34" s="50">
        <v>300.14999999999998</v>
      </c>
    </row>
    <row r="35" spans="1:15" x14ac:dyDescent="0.25">
      <c r="A35" s="48">
        <v>45797</v>
      </c>
      <c r="B35" s="49">
        <v>1.4</v>
      </c>
      <c r="C35" s="49">
        <v>6.2</v>
      </c>
      <c r="D35" s="50">
        <v>65.099999999999994</v>
      </c>
      <c r="E35" s="49">
        <v>1.1000000000000001</v>
      </c>
      <c r="F35" s="49">
        <v>6.3</v>
      </c>
      <c r="G35" s="50">
        <v>51.975000000000001</v>
      </c>
      <c r="I35" s="48">
        <v>45797</v>
      </c>
      <c r="J35" s="49">
        <v>6.7</v>
      </c>
      <c r="K35" s="49">
        <v>7.5</v>
      </c>
      <c r="L35" s="50">
        <v>376.875</v>
      </c>
      <c r="M35" s="49">
        <v>5.0999999999999996</v>
      </c>
      <c r="N35" s="49">
        <v>7</v>
      </c>
      <c r="O35" s="50">
        <v>267.75</v>
      </c>
    </row>
    <row r="36" spans="1:15" x14ac:dyDescent="0.25">
      <c r="A36" s="48">
        <v>45798</v>
      </c>
      <c r="B36" s="49">
        <v>1.8</v>
      </c>
      <c r="C36" s="49">
        <v>6.3</v>
      </c>
      <c r="D36" s="50">
        <v>85.05</v>
      </c>
      <c r="E36" s="49">
        <v>1.8</v>
      </c>
      <c r="F36" s="49">
        <v>6.7</v>
      </c>
      <c r="G36" s="50">
        <v>90.45</v>
      </c>
      <c r="I36" s="48">
        <v>45798</v>
      </c>
      <c r="J36" s="49">
        <v>6.5</v>
      </c>
      <c r="K36" s="49">
        <v>7.2</v>
      </c>
      <c r="L36" s="50">
        <v>351</v>
      </c>
      <c r="M36" s="49">
        <v>5.7</v>
      </c>
      <c r="N36" s="49">
        <v>6.5</v>
      </c>
      <c r="O36" s="50">
        <v>277.875</v>
      </c>
    </row>
    <row r="37" spans="1:15" x14ac:dyDescent="0.25">
      <c r="A37" s="48">
        <v>45799</v>
      </c>
      <c r="B37" s="49">
        <v>1.4</v>
      </c>
      <c r="C37" s="49">
        <v>6.5</v>
      </c>
      <c r="D37" s="50">
        <v>68.25</v>
      </c>
      <c r="E37" s="49">
        <v>1.4</v>
      </c>
      <c r="F37" s="49">
        <v>6.2</v>
      </c>
      <c r="G37" s="50">
        <v>65.099999999999994</v>
      </c>
      <c r="I37" s="48">
        <v>45799</v>
      </c>
      <c r="J37" s="49">
        <v>6.4</v>
      </c>
      <c r="K37" s="49">
        <v>7.8</v>
      </c>
      <c r="L37" s="50">
        <v>374.40000000000003</v>
      </c>
      <c r="M37" s="49">
        <v>5.4</v>
      </c>
      <c r="N37" s="49">
        <v>7</v>
      </c>
      <c r="O37" s="50">
        <v>283.5</v>
      </c>
    </row>
    <row r="38" spans="1:15" x14ac:dyDescent="0.25">
      <c r="A38" s="48">
        <v>45800</v>
      </c>
      <c r="B38" s="49">
        <v>1.8</v>
      </c>
      <c r="C38" s="49">
        <v>6.8</v>
      </c>
      <c r="D38" s="50">
        <v>91.8</v>
      </c>
      <c r="E38" s="49">
        <v>1.5</v>
      </c>
      <c r="F38" s="49">
        <v>6.4</v>
      </c>
      <c r="G38" s="50">
        <v>72</v>
      </c>
      <c r="I38" s="48">
        <v>45800</v>
      </c>
      <c r="J38" s="49">
        <v>6.4</v>
      </c>
      <c r="K38" s="49">
        <v>7.6</v>
      </c>
      <c r="L38" s="50">
        <v>364.8</v>
      </c>
      <c r="M38" s="49">
        <v>5.5</v>
      </c>
      <c r="N38" s="49">
        <v>6.5</v>
      </c>
      <c r="O38" s="50">
        <v>268.125</v>
      </c>
    </row>
    <row r="39" spans="1:15" x14ac:dyDescent="0.25">
      <c r="A39" s="48">
        <v>45801</v>
      </c>
      <c r="B39" s="49">
        <v>1.9</v>
      </c>
      <c r="C39" s="49">
        <v>6.8</v>
      </c>
      <c r="D39" s="50">
        <v>96.899999999999991</v>
      </c>
      <c r="E39" s="49">
        <v>1.6</v>
      </c>
      <c r="F39" s="49">
        <v>6.5</v>
      </c>
      <c r="G39" s="50">
        <v>78</v>
      </c>
      <c r="I39" s="48">
        <v>45801</v>
      </c>
      <c r="J39" s="49">
        <v>6</v>
      </c>
      <c r="K39" s="49">
        <v>7.4</v>
      </c>
      <c r="L39" s="50">
        <v>333</v>
      </c>
      <c r="M39" s="49">
        <v>5.9</v>
      </c>
      <c r="N39" s="49">
        <v>6.7</v>
      </c>
      <c r="O39" s="50">
        <v>296.47500000000002</v>
      </c>
    </row>
    <row r="40" spans="1:15" x14ac:dyDescent="0.25">
      <c r="A40" s="48">
        <v>45802</v>
      </c>
      <c r="B40" s="49">
        <v>1.7</v>
      </c>
      <c r="C40" s="49">
        <v>6.5</v>
      </c>
      <c r="D40" s="50">
        <v>82.875</v>
      </c>
      <c r="E40" s="49">
        <v>1.1000000000000001</v>
      </c>
      <c r="F40" s="49">
        <v>6.7</v>
      </c>
      <c r="G40" s="50">
        <v>55.275000000000006</v>
      </c>
      <c r="I40" s="48">
        <v>45802</v>
      </c>
      <c r="J40" s="49">
        <v>6.2</v>
      </c>
      <c r="K40" s="49">
        <v>7.7</v>
      </c>
      <c r="L40" s="50">
        <v>358.05</v>
      </c>
      <c r="M40" s="49">
        <v>5.5</v>
      </c>
      <c r="N40" s="49">
        <v>6.5</v>
      </c>
      <c r="O40" s="50">
        <v>268.125</v>
      </c>
    </row>
    <row r="41" spans="1:15" x14ac:dyDescent="0.25">
      <c r="A41" s="48">
        <v>45803</v>
      </c>
      <c r="B41" s="49">
        <v>1.5</v>
      </c>
      <c r="C41" s="49">
        <v>6.5</v>
      </c>
      <c r="D41" s="50">
        <v>73.125</v>
      </c>
      <c r="E41" s="49">
        <v>1</v>
      </c>
      <c r="F41" s="49">
        <v>7</v>
      </c>
      <c r="G41" s="50">
        <v>52.5</v>
      </c>
      <c r="I41" s="48">
        <v>45803</v>
      </c>
      <c r="J41" s="49">
        <v>5.4</v>
      </c>
      <c r="K41" s="49">
        <v>7.9</v>
      </c>
      <c r="L41" s="50">
        <v>319.95000000000005</v>
      </c>
      <c r="M41" s="49">
        <v>5.4</v>
      </c>
      <c r="N41" s="49">
        <v>6.2</v>
      </c>
      <c r="O41" s="50">
        <v>251.10000000000002</v>
      </c>
    </row>
    <row r="42" spans="1:15" x14ac:dyDescent="0.25">
      <c r="A42" s="48">
        <v>45804</v>
      </c>
      <c r="B42" s="49">
        <v>1.9</v>
      </c>
      <c r="C42" s="49">
        <v>7</v>
      </c>
      <c r="D42" s="50">
        <v>99.75</v>
      </c>
      <c r="E42" s="49">
        <v>1.4</v>
      </c>
      <c r="F42" s="49">
        <v>7</v>
      </c>
      <c r="G42" s="50">
        <v>73.5</v>
      </c>
      <c r="I42" s="48">
        <v>45804</v>
      </c>
      <c r="J42" s="49">
        <v>7.1</v>
      </c>
      <c r="K42" s="49">
        <v>7.6</v>
      </c>
      <c r="L42" s="50">
        <v>404.7</v>
      </c>
      <c r="M42" s="49">
        <v>5.0999999999999996</v>
      </c>
      <c r="N42" s="49">
        <v>6.5</v>
      </c>
      <c r="O42" s="50">
        <v>248.62499999999997</v>
      </c>
    </row>
    <row r="43" spans="1:15" x14ac:dyDescent="0.25">
      <c r="A43" s="48">
        <v>45805</v>
      </c>
      <c r="B43" s="49">
        <v>1.9</v>
      </c>
      <c r="C43" s="49">
        <v>6.5</v>
      </c>
      <c r="D43" s="50">
        <v>92.625</v>
      </c>
      <c r="E43" s="49">
        <v>1.3</v>
      </c>
      <c r="F43" s="49">
        <v>7.2</v>
      </c>
      <c r="G43" s="50">
        <v>70.2</v>
      </c>
      <c r="I43" s="48">
        <v>45805</v>
      </c>
      <c r="J43" s="49">
        <v>5.8</v>
      </c>
      <c r="K43" s="49">
        <v>7.8</v>
      </c>
      <c r="L43" s="50">
        <v>339.3</v>
      </c>
      <c r="M43" s="49">
        <v>5.6</v>
      </c>
      <c r="N43" s="49">
        <v>6.5</v>
      </c>
      <c r="O43" s="50">
        <v>273</v>
      </c>
    </row>
    <row r="44" spans="1:15" x14ac:dyDescent="0.25">
      <c r="A44" s="48">
        <v>45806</v>
      </c>
      <c r="B44" s="49">
        <v>1.8</v>
      </c>
      <c r="C44" s="49">
        <v>6.6</v>
      </c>
      <c r="D44" s="50">
        <v>89.100000000000009</v>
      </c>
      <c r="E44" s="49">
        <v>1.2</v>
      </c>
      <c r="F44" s="49">
        <v>6.8</v>
      </c>
      <c r="G44" s="50">
        <v>61.199999999999996</v>
      </c>
      <c r="I44" s="48">
        <v>45806</v>
      </c>
      <c r="J44" s="49">
        <v>7.2</v>
      </c>
      <c r="K44" s="49">
        <v>7.5</v>
      </c>
      <c r="L44" s="50">
        <v>405</v>
      </c>
      <c r="M44" s="49">
        <v>4</v>
      </c>
      <c r="N44" s="49">
        <v>6.5</v>
      </c>
      <c r="O44" s="50">
        <v>195</v>
      </c>
    </row>
    <row r="45" spans="1:15" x14ac:dyDescent="0.25">
      <c r="A45" s="48">
        <v>45807</v>
      </c>
      <c r="B45" s="49">
        <v>1.9</v>
      </c>
      <c r="C45" s="49">
        <v>6.9</v>
      </c>
      <c r="D45" s="50">
        <v>98.324999999999989</v>
      </c>
      <c r="E45" s="49">
        <v>1.3</v>
      </c>
      <c r="F45" s="49">
        <v>7.4</v>
      </c>
      <c r="G45" s="50">
        <v>72.150000000000006</v>
      </c>
      <c r="I45" s="48">
        <v>45807</v>
      </c>
      <c r="J45" s="49">
        <v>6.1</v>
      </c>
      <c r="K45" s="49">
        <v>7.4</v>
      </c>
      <c r="L45" s="50">
        <v>338.54999999999995</v>
      </c>
      <c r="M45" s="49">
        <v>4.8</v>
      </c>
      <c r="N45" s="49">
        <v>6.4</v>
      </c>
      <c r="O45" s="50">
        <v>230.39999999999998</v>
      </c>
    </row>
    <row r="46" spans="1:15" x14ac:dyDescent="0.25">
      <c r="A46" s="48">
        <v>45808</v>
      </c>
      <c r="B46" s="49">
        <v>2</v>
      </c>
      <c r="C46" s="49">
        <v>6.9</v>
      </c>
      <c r="D46" s="50">
        <v>103.5</v>
      </c>
      <c r="E46" s="49">
        <v>1.2</v>
      </c>
      <c r="F46" s="49">
        <v>7.2</v>
      </c>
      <c r="G46" s="50">
        <v>64.8</v>
      </c>
      <c r="I46" s="48">
        <v>45808</v>
      </c>
      <c r="J46" s="49">
        <v>6.3</v>
      </c>
      <c r="K46" s="49">
        <v>7.4</v>
      </c>
      <c r="L46" s="50">
        <v>349.65</v>
      </c>
      <c r="M46" s="49">
        <v>5.8</v>
      </c>
      <c r="N46" s="49">
        <v>6</v>
      </c>
      <c r="O46" s="50">
        <v>261</v>
      </c>
    </row>
    <row r="47" spans="1:15" ht="2.25" customHeight="1" x14ac:dyDescent="0.25">
      <c r="A47" s="44"/>
      <c r="B47" s="21"/>
      <c r="C47" s="21"/>
      <c r="D47" s="21"/>
      <c r="E47" s="21"/>
      <c r="F47" s="21"/>
      <c r="G47" s="21"/>
      <c r="I47" s="44"/>
      <c r="J47" s="21"/>
      <c r="K47" s="21"/>
      <c r="L47" s="21"/>
      <c r="M47" s="21"/>
      <c r="N47" s="21"/>
      <c r="O47" s="21"/>
    </row>
    <row r="48" spans="1:15" x14ac:dyDescent="0.25">
      <c r="A48" s="21"/>
      <c r="B48" s="194" t="s">
        <v>39</v>
      </c>
      <c r="C48" s="194"/>
      <c r="D48" s="194"/>
      <c r="E48" s="194"/>
      <c r="F48" s="194"/>
      <c r="G48" s="98">
        <v>48.3</v>
      </c>
      <c r="I48" s="21"/>
      <c r="J48" s="194" t="s">
        <v>39</v>
      </c>
      <c r="K48" s="194"/>
      <c r="L48" s="194"/>
      <c r="M48" s="194"/>
      <c r="N48" s="194"/>
      <c r="O48" s="98">
        <v>190.99999999999997</v>
      </c>
    </row>
    <row r="49" spans="1:17" x14ac:dyDescent="0.25">
      <c r="A49" s="21"/>
      <c r="B49" s="194" t="s">
        <v>40</v>
      </c>
      <c r="C49" s="194"/>
      <c r="D49" s="194"/>
      <c r="E49" s="194"/>
      <c r="F49" s="194"/>
      <c r="G49" s="109">
        <v>2395.0500000000002</v>
      </c>
      <c r="I49" s="21"/>
      <c r="J49" s="194" t="s">
        <v>40</v>
      </c>
      <c r="K49" s="194"/>
      <c r="L49" s="194"/>
      <c r="M49" s="194"/>
      <c r="N49" s="194"/>
      <c r="O49" s="109">
        <v>10039.35</v>
      </c>
    </row>
    <row r="50" spans="1:17" x14ac:dyDescent="0.25">
      <c r="A50" s="21"/>
      <c r="B50" s="194" t="s">
        <v>46</v>
      </c>
      <c r="C50" s="194"/>
      <c r="D50" s="194"/>
      <c r="E50" s="194"/>
      <c r="F50" s="194"/>
      <c r="G50" s="104">
        <v>0</v>
      </c>
      <c r="I50" s="21"/>
      <c r="J50" s="194" t="s">
        <v>46</v>
      </c>
      <c r="K50" s="194"/>
      <c r="L50" s="194"/>
      <c r="M50" s="194"/>
      <c r="N50" s="194"/>
      <c r="O50" s="104">
        <v>0</v>
      </c>
    </row>
    <row r="51" spans="1:17" ht="15.75" x14ac:dyDescent="0.25">
      <c r="A51" s="21"/>
      <c r="B51" s="195" t="s">
        <v>41</v>
      </c>
      <c r="C51" s="195"/>
      <c r="D51" s="195"/>
      <c r="E51" s="195"/>
      <c r="F51" s="195"/>
      <c r="G51" s="108">
        <v>2395.0500000000002</v>
      </c>
      <c r="I51" s="21"/>
      <c r="J51" s="195" t="s">
        <v>41</v>
      </c>
      <c r="K51" s="195"/>
      <c r="L51" s="195"/>
      <c r="M51" s="195"/>
      <c r="N51" s="195"/>
      <c r="O51" s="108">
        <v>10039.35</v>
      </c>
    </row>
    <row r="52" spans="1:17" ht="7.5" customHeight="1" x14ac:dyDescent="0.25">
      <c r="Q52" s="45"/>
    </row>
    <row r="53" spans="1:17" ht="7.5" customHeight="1" x14ac:dyDescent="0.25"/>
    <row r="54" spans="1:17" x14ac:dyDescent="0.25">
      <c r="A54" s="200" t="s">
        <v>34</v>
      </c>
      <c r="B54" s="200"/>
      <c r="C54" s="51">
        <v>5</v>
      </c>
      <c r="D54" s="46" t="s">
        <v>36</v>
      </c>
      <c r="E54" s="198">
        <v>45793</v>
      </c>
      <c r="F54" s="198"/>
      <c r="G54" s="198"/>
      <c r="I54" s="200" t="s">
        <v>34</v>
      </c>
      <c r="J54" s="200"/>
      <c r="K54" s="51">
        <v>6</v>
      </c>
      <c r="L54" s="46" t="s">
        <v>36</v>
      </c>
      <c r="M54" s="198">
        <v>45793</v>
      </c>
      <c r="N54" s="198"/>
      <c r="O54" s="198"/>
    </row>
    <row r="55" spans="1:17" x14ac:dyDescent="0.25">
      <c r="A55" s="200" t="s">
        <v>35</v>
      </c>
      <c r="B55" s="200"/>
      <c r="C55" s="199" t="s">
        <v>6</v>
      </c>
      <c r="D55" s="199"/>
      <c r="E55" s="199"/>
      <c r="F55" s="199"/>
      <c r="G55" s="199"/>
      <c r="I55" s="200" t="s">
        <v>35</v>
      </c>
      <c r="J55" s="200"/>
      <c r="K55" s="199" t="s">
        <v>7</v>
      </c>
      <c r="L55" s="199"/>
      <c r="M55" s="199"/>
      <c r="N55" s="199"/>
      <c r="O55" s="199"/>
    </row>
    <row r="56" spans="1:17" x14ac:dyDescent="0.25">
      <c r="A56" s="197" t="s">
        <v>28</v>
      </c>
      <c r="B56" s="196" t="s">
        <v>29</v>
      </c>
      <c r="C56" s="196"/>
      <c r="D56" s="196"/>
      <c r="E56" s="196" t="s">
        <v>30</v>
      </c>
      <c r="F56" s="196"/>
      <c r="G56" s="196"/>
      <c r="I56" s="197" t="s">
        <v>28</v>
      </c>
      <c r="J56" s="196" t="s">
        <v>29</v>
      </c>
      <c r="K56" s="196"/>
      <c r="L56" s="196"/>
      <c r="M56" s="196" t="s">
        <v>30</v>
      </c>
      <c r="N56" s="196"/>
      <c r="O56" s="196"/>
    </row>
    <row r="57" spans="1:17" ht="27.75" customHeight="1" x14ac:dyDescent="0.25">
      <c r="A57" s="197"/>
      <c r="B57" s="47" t="s">
        <v>33</v>
      </c>
      <c r="C57" s="47" t="s">
        <v>32</v>
      </c>
      <c r="D57" s="47" t="s">
        <v>31</v>
      </c>
      <c r="E57" s="47" t="s">
        <v>33</v>
      </c>
      <c r="F57" s="47" t="s">
        <v>32</v>
      </c>
      <c r="G57" s="47" t="s">
        <v>31</v>
      </c>
      <c r="I57" s="197"/>
      <c r="J57" s="47" t="s">
        <v>33</v>
      </c>
      <c r="K57" s="47" t="s">
        <v>32</v>
      </c>
      <c r="L57" s="47" t="s">
        <v>31</v>
      </c>
      <c r="M57" s="47" t="s">
        <v>33</v>
      </c>
      <c r="N57" s="47" t="s">
        <v>32</v>
      </c>
      <c r="O57" s="47" t="s">
        <v>31</v>
      </c>
    </row>
    <row r="58" spans="1:17" x14ac:dyDescent="0.25">
      <c r="A58" s="48">
        <v>45793</v>
      </c>
      <c r="B58" s="49">
        <v>1.8</v>
      </c>
      <c r="C58" s="49">
        <v>7.9</v>
      </c>
      <c r="D58" s="50">
        <v>106.65</v>
      </c>
      <c r="E58" s="49"/>
      <c r="F58" s="49"/>
      <c r="G58" s="50"/>
      <c r="I58" s="48">
        <v>45793</v>
      </c>
      <c r="J58" s="49">
        <v>7</v>
      </c>
      <c r="K58" s="49">
        <v>8.1999999999999993</v>
      </c>
      <c r="L58" s="50">
        <v>430.5</v>
      </c>
      <c r="M58" s="49">
        <v>4.3</v>
      </c>
      <c r="N58" s="49">
        <v>7.5</v>
      </c>
      <c r="O58" s="50">
        <v>241.875</v>
      </c>
    </row>
    <row r="59" spans="1:17" x14ac:dyDescent="0.25">
      <c r="A59" s="48">
        <v>45794</v>
      </c>
      <c r="B59" s="49"/>
      <c r="C59" s="49"/>
      <c r="D59" s="50"/>
      <c r="E59" s="49"/>
      <c r="F59" s="49"/>
      <c r="G59" s="50"/>
      <c r="I59" s="48">
        <v>45794</v>
      </c>
      <c r="J59" s="49">
        <v>6.7</v>
      </c>
      <c r="K59" s="49">
        <v>8.3000000000000007</v>
      </c>
      <c r="L59" s="50">
        <v>417.07499999999999</v>
      </c>
      <c r="M59" s="49">
        <v>4.3</v>
      </c>
      <c r="N59" s="49">
        <v>7</v>
      </c>
      <c r="O59" s="50">
        <v>225.75</v>
      </c>
    </row>
    <row r="60" spans="1:17" x14ac:dyDescent="0.25">
      <c r="A60" s="48">
        <v>45795</v>
      </c>
      <c r="B60" s="49"/>
      <c r="C60" s="49"/>
      <c r="D60" s="50"/>
      <c r="E60" s="49"/>
      <c r="F60" s="49"/>
      <c r="G60" s="50"/>
      <c r="I60" s="48">
        <v>45795</v>
      </c>
      <c r="J60" s="49">
        <v>6.8</v>
      </c>
      <c r="K60" s="49">
        <v>8.1999999999999993</v>
      </c>
      <c r="L60" s="50">
        <v>418.2</v>
      </c>
      <c r="M60" s="49">
        <v>4.7</v>
      </c>
      <c r="N60" s="49">
        <v>7.4</v>
      </c>
      <c r="O60" s="50">
        <v>260.85000000000002</v>
      </c>
    </row>
    <row r="61" spans="1:17" x14ac:dyDescent="0.25">
      <c r="A61" s="48">
        <v>45796</v>
      </c>
      <c r="B61" s="49">
        <v>2</v>
      </c>
      <c r="C61" s="49">
        <v>7.6</v>
      </c>
      <c r="D61" s="50">
        <v>114</v>
      </c>
      <c r="E61" s="49">
        <v>1.5</v>
      </c>
      <c r="F61" s="49">
        <v>6.8</v>
      </c>
      <c r="G61" s="50">
        <v>76.5</v>
      </c>
      <c r="I61" s="48">
        <v>45796</v>
      </c>
      <c r="J61" s="49">
        <v>7.2</v>
      </c>
      <c r="K61" s="49">
        <v>8</v>
      </c>
      <c r="L61" s="50">
        <v>432</v>
      </c>
      <c r="M61" s="49">
        <v>4.4000000000000004</v>
      </c>
      <c r="N61" s="49">
        <v>7.4</v>
      </c>
      <c r="O61" s="50">
        <v>244.20000000000002</v>
      </c>
    </row>
    <row r="62" spans="1:17" x14ac:dyDescent="0.25">
      <c r="A62" s="48">
        <v>45797</v>
      </c>
      <c r="B62" s="49">
        <v>1</v>
      </c>
      <c r="C62" s="49">
        <v>8.5</v>
      </c>
      <c r="D62" s="50">
        <v>63.75</v>
      </c>
      <c r="E62" s="49">
        <v>2</v>
      </c>
      <c r="F62" s="49">
        <v>7.1</v>
      </c>
      <c r="G62" s="50">
        <v>106.5</v>
      </c>
      <c r="I62" s="48">
        <v>45797</v>
      </c>
      <c r="J62" s="49">
        <v>7.1</v>
      </c>
      <c r="K62" s="49">
        <v>8.1999999999999993</v>
      </c>
      <c r="L62" s="50">
        <v>436.65</v>
      </c>
      <c r="M62" s="49">
        <v>4.8</v>
      </c>
      <c r="N62" s="49">
        <v>7</v>
      </c>
      <c r="O62" s="50">
        <v>252</v>
      </c>
    </row>
    <row r="63" spans="1:17" x14ac:dyDescent="0.25">
      <c r="A63" s="48">
        <v>45798</v>
      </c>
      <c r="B63" s="49">
        <v>1</v>
      </c>
      <c r="C63" s="49">
        <v>8.1</v>
      </c>
      <c r="D63" s="50">
        <v>60.75</v>
      </c>
      <c r="E63" s="49">
        <v>2.2000000000000002</v>
      </c>
      <c r="F63" s="49">
        <v>6.9</v>
      </c>
      <c r="G63" s="50">
        <v>113.85000000000001</v>
      </c>
      <c r="I63" s="48">
        <v>45798</v>
      </c>
      <c r="J63" s="49">
        <v>7.1</v>
      </c>
      <c r="K63" s="49">
        <v>8</v>
      </c>
      <c r="L63" s="50">
        <v>426</v>
      </c>
      <c r="M63" s="49">
        <v>4.4000000000000004</v>
      </c>
      <c r="N63" s="49">
        <v>7.2</v>
      </c>
      <c r="O63" s="50">
        <v>237.60000000000002</v>
      </c>
    </row>
    <row r="64" spans="1:17" x14ac:dyDescent="0.25">
      <c r="A64" s="48">
        <v>45799</v>
      </c>
      <c r="B64" s="49">
        <v>1</v>
      </c>
      <c r="C64" s="49">
        <v>8.5</v>
      </c>
      <c r="D64" s="50">
        <v>63.75</v>
      </c>
      <c r="E64" s="49">
        <v>2.1</v>
      </c>
      <c r="F64" s="49">
        <v>7</v>
      </c>
      <c r="G64" s="50">
        <v>110.25</v>
      </c>
      <c r="I64" s="48">
        <v>45799</v>
      </c>
      <c r="J64" s="49">
        <v>7</v>
      </c>
      <c r="K64" s="49">
        <v>8.3000000000000007</v>
      </c>
      <c r="L64" s="50">
        <v>435.75</v>
      </c>
      <c r="M64" s="49">
        <v>4.3</v>
      </c>
      <c r="N64" s="49">
        <v>7.2</v>
      </c>
      <c r="O64" s="50">
        <v>232.2</v>
      </c>
    </row>
    <row r="65" spans="1:15" x14ac:dyDescent="0.25">
      <c r="A65" s="48">
        <v>45800</v>
      </c>
      <c r="B65" s="49"/>
      <c r="C65" s="49"/>
      <c r="D65" s="50"/>
      <c r="E65" s="49">
        <v>2.4</v>
      </c>
      <c r="F65" s="49">
        <v>6.8</v>
      </c>
      <c r="G65" s="50">
        <v>122.39999999999999</v>
      </c>
      <c r="I65" s="48">
        <v>45800</v>
      </c>
      <c r="J65" s="49">
        <v>6.8</v>
      </c>
      <c r="K65" s="49">
        <v>8.4</v>
      </c>
      <c r="L65" s="50">
        <v>428.4</v>
      </c>
      <c r="M65" s="49">
        <v>4.3</v>
      </c>
      <c r="N65" s="49">
        <v>7.3</v>
      </c>
      <c r="O65" s="50">
        <v>235.42499999999998</v>
      </c>
    </row>
    <row r="66" spans="1:15" x14ac:dyDescent="0.25">
      <c r="A66" s="48">
        <v>45801</v>
      </c>
      <c r="B66" s="49">
        <v>0.9</v>
      </c>
      <c r="C66" s="49">
        <v>9.1</v>
      </c>
      <c r="D66" s="50">
        <v>61.425000000000004</v>
      </c>
      <c r="E66" s="49">
        <v>2</v>
      </c>
      <c r="F66" s="49">
        <v>6.7</v>
      </c>
      <c r="G66" s="50">
        <v>100.5</v>
      </c>
      <c r="I66" s="48">
        <v>45801</v>
      </c>
      <c r="J66" s="49">
        <v>7</v>
      </c>
      <c r="K66" s="49">
        <v>8.3000000000000007</v>
      </c>
      <c r="L66" s="50">
        <v>435.75</v>
      </c>
      <c r="M66" s="49">
        <v>4.7</v>
      </c>
      <c r="N66" s="49">
        <v>7.5</v>
      </c>
      <c r="O66" s="50">
        <v>264.375</v>
      </c>
    </row>
    <row r="67" spans="1:15" x14ac:dyDescent="0.25">
      <c r="A67" s="48">
        <v>45802</v>
      </c>
      <c r="B67" s="49">
        <v>1.2</v>
      </c>
      <c r="C67" s="49">
        <v>9.1</v>
      </c>
      <c r="D67" s="50">
        <v>81.899999999999991</v>
      </c>
      <c r="E67" s="49">
        <v>2</v>
      </c>
      <c r="F67" s="49">
        <v>7.6</v>
      </c>
      <c r="G67" s="50">
        <v>114</v>
      </c>
      <c r="I67" s="48">
        <v>45802</v>
      </c>
      <c r="J67" s="49">
        <v>5.2</v>
      </c>
      <c r="K67" s="49">
        <v>8.6</v>
      </c>
      <c r="L67" s="50">
        <v>335.40000000000003</v>
      </c>
      <c r="M67" s="49">
        <v>4.4000000000000004</v>
      </c>
      <c r="N67" s="49">
        <v>7.5</v>
      </c>
      <c r="O67" s="50">
        <v>247.50000000000003</v>
      </c>
    </row>
    <row r="68" spans="1:15" x14ac:dyDescent="0.25">
      <c r="A68" s="48">
        <v>45803</v>
      </c>
      <c r="B68" s="49">
        <v>1.2</v>
      </c>
      <c r="C68" s="49">
        <v>8.1999999999999993</v>
      </c>
      <c r="D68" s="50">
        <v>73.8</v>
      </c>
      <c r="E68" s="49">
        <v>2</v>
      </c>
      <c r="F68" s="49">
        <v>7.5</v>
      </c>
      <c r="G68" s="50">
        <v>112.5</v>
      </c>
      <c r="I68" s="48">
        <v>45803</v>
      </c>
      <c r="J68" s="49">
        <v>7.2</v>
      </c>
      <c r="K68" s="49">
        <v>8.6999999999999993</v>
      </c>
      <c r="L68" s="50">
        <v>469.8</v>
      </c>
      <c r="M68" s="49">
        <v>4</v>
      </c>
      <c r="N68" s="49">
        <v>8</v>
      </c>
      <c r="O68" s="50">
        <v>240</v>
      </c>
    </row>
    <row r="69" spans="1:15" x14ac:dyDescent="0.25">
      <c r="A69" s="48">
        <v>45804</v>
      </c>
      <c r="B69" s="49">
        <v>1.3</v>
      </c>
      <c r="C69" s="49">
        <v>8</v>
      </c>
      <c r="D69" s="50">
        <v>78</v>
      </c>
      <c r="E69" s="49">
        <v>1.9</v>
      </c>
      <c r="F69" s="49">
        <v>7.7</v>
      </c>
      <c r="G69" s="50">
        <v>109.72499999999999</v>
      </c>
      <c r="I69" s="48">
        <v>45804</v>
      </c>
      <c r="J69" s="49">
        <v>5.7</v>
      </c>
      <c r="K69" s="49">
        <v>8.4</v>
      </c>
      <c r="L69" s="50">
        <v>359.1</v>
      </c>
      <c r="M69" s="49">
        <v>4.5999999999999996</v>
      </c>
      <c r="N69" s="49">
        <v>7.4</v>
      </c>
      <c r="O69" s="50">
        <v>255.29999999999998</v>
      </c>
    </row>
    <row r="70" spans="1:15" x14ac:dyDescent="0.25">
      <c r="A70" s="48">
        <v>45805</v>
      </c>
      <c r="B70" s="49">
        <v>1.4</v>
      </c>
      <c r="C70" s="49">
        <v>8.1999999999999993</v>
      </c>
      <c r="D70" s="50">
        <v>86.1</v>
      </c>
      <c r="E70" s="49">
        <v>1.8</v>
      </c>
      <c r="F70" s="49">
        <v>7.5</v>
      </c>
      <c r="G70" s="50">
        <v>101.25</v>
      </c>
      <c r="I70" s="48">
        <v>45805</v>
      </c>
      <c r="J70" s="49">
        <v>5.8</v>
      </c>
      <c r="K70" s="49">
        <v>8.1999999999999993</v>
      </c>
      <c r="L70" s="50">
        <v>356.7</v>
      </c>
      <c r="M70" s="49">
        <v>4.5</v>
      </c>
      <c r="N70" s="49">
        <v>7.5</v>
      </c>
      <c r="O70" s="50">
        <v>253.125</v>
      </c>
    </row>
    <row r="71" spans="1:15" x14ac:dyDescent="0.25">
      <c r="A71" s="48">
        <v>45806</v>
      </c>
      <c r="B71" s="49"/>
      <c r="C71" s="49"/>
      <c r="D71" s="50"/>
      <c r="E71" s="49">
        <v>2.2999999999999998</v>
      </c>
      <c r="F71" s="49">
        <v>7.8</v>
      </c>
      <c r="G71" s="50">
        <v>134.54999999999998</v>
      </c>
      <c r="I71" s="48">
        <v>45806</v>
      </c>
      <c r="J71" s="49">
        <v>6.5</v>
      </c>
      <c r="K71" s="49">
        <v>8.6</v>
      </c>
      <c r="L71" s="50">
        <v>419.25</v>
      </c>
      <c r="M71" s="49">
        <v>4.5999999999999996</v>
      </c>
      <c r="N71" s="49">
        <v>7.8</v>
      </c>
      <c r="O71" s="50">
        <v>269.09999999999997</v>
      </c>
    </row>
    <row r="72" spans="1:15" x14ac:dyDescent="0.25">
      <c r="A72" s="48">
        <v>45807</v>
      </c>
      <c r="B72" s="49">
        <v>1.1000000000000001</v>
      </c>
      <c r="C72" s="49">
        <v>8.4</v>
      </c>
      <c r="D72" s="50">
        <v>69.300000000000011</v>
      </c>
      <c r="E72" s="49">
        <v>2.1</v>
      </c>
      <c r="F72" s="49">
        <v>7.7</v>
      </c>
      <c r="G72" s="50">
        <v>121.27500000000001</v>
      </c>
      <c r="I72" s="48">
        <v>45807</v>
      </c>
      <c r="J72" s="49">
        <v>7.3</v>
      </c>
      <c r="K72" s="49">
        <v>8.9</v>
      </c>
      <c r="L72" s="50">
        <v>487.27499999999998</v>
      </c>
      <c r="M72" s="49">
        <v>4.3</v>
      </c>
      <c r="N72" s="49">
        <v>7.7</v>
      </c>
      <c r="O72" s="50">
        <v>248.32499999999999</v>
      </c>
    </row>
    <row r="73" spans="1:15" x14ac:dyDescent="0.25">
      <c r="A73" s="48">
        <v>45808</v>
      </c>
      <c r="B73" s="49">
        <v>2</v>
      </c>
      <c r="C73" s="49">
        <v>8.4</v>
      </c>
      <c r="D73" s="50">
        <v>126</v>
      </c>
      <c r="E73" s="49">
        <v>1.5</v>
      </c>
      <c r="F73" s="49">
        <v>8.5</v>
      </c>
      <c r="G73" s="50">
        <v>95.625</v>
      </c>
      <c r="I73" s="48">
        <v>45808</v>
      </c>
      <c r="J73" s="49">
        <v>6.7</v>
      </c>
      <c r="K73" s="49">
        <v>8.8000000000000007</v>
      </c>
      <c r="L73" s="50">
        <v>442.2</v>
      </c>
      <c r="M73" s="49">
        <v>4.5</v>
      </c>
      <c r="N73" s="49">
        <v>7.6</v>
      </c>
      <c r="O73" s="50">
        <v>256.5</v>
      </c>
    </row>
    <row r="74" spans="1:15" ht="1.5" customHeight="1" x14ac:dyDescent="0.25">
      <c r="A74" s="44"/>
      <c r="B74" s="21"/>
      <c r="C74" s="21"/>
      <c r="D74" s="21"/>
      <c r="E74" s="21"/>
      <c r="F74" s="21"/>
      <c r="G74" s="21"/>
      <c r="I74" s="44"/>
      <c r="J74" s="21"/>
      <c r="K74" s="21"/>
      <c r="L74" s="21"/>
      <c r="M74" s="21"/>
      <c r="N74" s="21"/>
      <c r="O74" s="21"/>
    </row>
    <row r="75" spans="1:15" x14ac:dyDescent="0.25">
      <c r="A75" s="21"/>
      <c r="B75" s="194" t="s">
        <v>39</v>
      </c>
      <c r="C75" s="194"/>
      <c r="D75" s="194"/>
      <c r="E75" s="194"/>
      <c r="F75" s="194"/>
      <c r="G75" s="98">
        <v>41.7</v>
      </c>
      <c r="I75" s="21"/>
      <c r="J75" s="194" t="s">
        <v>39</v>
      </c>
      <c r="K75" s="194"/>
      <c r="L75" s="194"/>
      <c r="M75" s="194"/>
      <c r="N75" s="194"/>
      <c r="O75" s="98">
        <v>178.2</v>
      </c>
    </row>
    <row r="76" spans="1:15" x14ac:dyDescent="0.25">
      <c r="A76" s="21"/>
      <c r="B76" s="194" t="s">
        <v>40</v>
      </c>
      <c r="C76" s="194"/>
      <c r="D76" s="194"/>
      <c r="E76" s="194"/>
      <c r="F76" s="194"/>
      <c r="G76" s="109">
        <v>2404.35</v>
      </c>
      <c r="I76" s="21"/>
      <c r="J76" s="194" t="s">
        <v>40</v>
      </c>
      <c r="K76" s="194"/>
      <c r="L76" s="194"/>
      <c r="M76" s="194"/>
      <c r="N76" s="194"/>
      <c r="O76" s="109">
        <v>10694.174999999999</v>
      </c>
    </row>
    <row r="77" spans="1:15" x14ac:dyDescent="0.25">
      <c r="A77" s="21"/>
      <c r="B77" s="194" t="s">
        <v>46</v>
      </c>
      <c r="C77" s="194"/>
      <c r="D77" s="194"/>
      <c r="E77" s="194"/>
      <c r="F77" s="194"/>
      <c r="G77" s="104">
        <v>0</v>
      </c>
      <c r="I77" s="21"/>
      <c r="J77" s="194" t="s">
        <v>46</v>
      </c>
      <c r="K77" s="194"/>
      <c r="L77" s="194"/>
      <c r="M77" s="194"/>
      <c r="N77" s="194"/>
      <c r="O77" s="104">
        <v>0</v>
      </c>
    </row>
    <row r="78" spans="1:15" ht="15.75" x14ac:dyDescent="0.25">
      <c r="A78" s="21"/>
      <c r="B78" s="195" t="s">
        <v>41</v>
      </c>
      <c r="C78" s="195"/>
      <c r="D78" s="195"/>
      <c r="E78" s="195"/>
      <c r="F78" s="195"/>
      <c r="G78" s="108">
        <v>2404.35</v>
      </c>
      <c r="I78" s="21"/>
      <c r="J78" s="195" t="s">
        <v>41</v>
      </c>
      <c r="K78" s="195"/>
      <c r="L78" s="195"/>
      <c r="M78" s="195"/>
      <c r="N78" s="195"/>
      <c r="O78" s="108">
        <v>10694.174999999999</v>
      </c>
    </row>
    <row r="79" spans="1:15" ht="6.75" customHeight="1" x14ac:dyDescent="0.25"/>
    <row r="80" spans="1:15" x14ac:dyDescent="0.25">
      <c r="A80" s="200" t="s">
        <v>34</v>
      </c>
      <c r="B80" s="200"/>
      <c r="C80" s="51">
        <v>7</v>
      </c>
      <c r="D80" s="46" t="s">
        <v>36</v>
      </c>
      <c r="E80" s="198">
        <v>45793</v>
      </c>
      <c r="F80" s="198"/>
      <c r="G80" s="198"/>
      <c r="I80" s="200" t="s">
        <v>34</v>
      </c>
      <c r="J80" s="200"/>
      <c r="K80" s="51">
        <v>8</v>
      </c>
      <c r="L80" s="46" t="s">
        <v>36</v>
      </c>
      <c r="M80" s="198">
        <v>45793</v>
      </c>
      <c r="N80" s="198"/>
      <c r="O80" s="198"/>
    </row>
    <row r="81" spans="1:15" x14ac:dyDescent="0.25">
      <c r="A81" s="200" t="s">
        <v>35</v>
      </c>
      <c r="B81" s="200"/>
      <c r="C81" s="199" t="s">
        <v>8</v>
      </c>
      <c r="D81" s="199"/>
      <c r="E81" s="199"/>
      <c r="F81" s="199"/>
      <c r="G81" s="199"/>
      <c r="I81" s="200" t="s">
        <v>35</v>
      </c>
      <c r="J81" s="200"/>
      <c r="K81" s="199" t="s">
        <v>9</v>
      </c>
      <c r="L81" s="199"/>
      <c r="M81" s="199"/>
      <c r="N81" s="199"/>
      <c r="O81" s="199"/>
    </row>
    <row r="82" spans="1:15" x14ac:dyDescent="0.25">
      <c r="A82" s="197" t="s">
        <v>28</v>
      </c>
      <c r="B82" s="196" t="s">
        <v>29</v>
      </c>
      <c r="C82" s="196"/>
      <c r="D82" s="196"/>
      <c r="E82" s="196" t="s">
        <v>30</v>
      </c>
      <c r="F82" s="196"/>
      <c r="G82" s="196"/>
      <c r="I82" s="197" t="s">
        <v>28</v>
      </c>
      <c r="J82" s="196" t="s">
        <v>29</v>
      </c>
      <c r="K82" s="196"/>
      <c r="L82" s="196"/>
      <c r="M82" s="196" t="s">
        <v>30</v>
      </c>
      <c r="N82" s="196"/>
      <c r="O82" s="196"/>
    </row>
    <row r="83" spans="1:15" ht="25.5" customHeight="1" x14ac:dyDescent="0.25">
      <c r="A83" s="197"/>
      <c r="B83" s="47" t="s">
        <v>33</v>
      </c>
      <c r="C83" s="47" t="s">
        <v>32</v>
      </c>
      <c r="D83" s="47" t="s">
        <v>31</v>
      </c>
      <c r="E83" s="47" t="s">
        <v>33</v>
      </c>
      <c r="F83" s="47" t="s">
        <v>32</v>
      </c>
      <c r="G83" s="47" t="s">
        <v>31</v>
      </c>
      <c r="I83" s="197"/>
      <c r="J83" s="47" t="s">
        <v>33</v>
      </c>
      <c r="K83" s="47" t="s">
        <v>32</v>
      </c>
      <c r="L83" s="47" t="s">
        <v>31</v>
      </c>
      <c r="M83" s="47" t="s">
        <v>33</v>
      </c>
      <c r="N83" s="47" t="s">
        <v>32</v>
      </c>
      <c r="O83" s="47" t="s">
        <v>31</v>
      </c>
    </row>
    <row r="84" spans="1:15" x14ac:dyDescent="0.25">
      <c r="A84" s="48">
        <v>45793</v>
      </c>
      <c r="B84" s="49">
        <v>4.2</v>
      </c>
      <c r="C84" s="49">
        <v>8.5</v>
      </c>
      <c r="D84" s="50">
        <v>267.75</v>
      </c>
      <c r="E84" s="49"/>
      <c r="F84" s="49"/>
      <c r="G84" s="50"/>
      <c r="I84" s="48">
        <v>45793</v>
      </c>
      <c r="J84" s="49">
        <v>1.6</v>
      </c>
      <c r="K84" s="49">
        <v>7.3</v>
      </c>
      <c r="L84" s="50">
        <v>87.600000000000009</v>
      </c>
      <c r="M84" s="49"/>
      <c r="N84" s="49"/>
      <c r="O84" s="50"/>
    </row>
    <row r="85" spans="1:15" x14ac:dyDescent="0.25">
      <c r="A85" s="48">
        <v>45794</v>
      </c>
      <c r="B85" s="49">
        <v>4.5999999999999996</v>
      </c>
      <c r="C85" s="49">
        <v>7.5</v>
      </c>
      <c r="D85" s="50">
        <v>258.75</v>
      </c>
      <c r="E85" s="49"/>
      <c r="F85" s="49"/>
      <c r="G85" s="50"/>
      <c r="I85" s="48">
        <v>45794</v>
      </c>
      <c r="J85" s="49">
        <v>1.6</v>
      </c>
      <c r="K85" s="49">
        <v>7.5</v>
      </c>
      <c r="L85" s="50">
        <v>90</v>
      </c>
      <c r="M85" s="49"/>
      <c r="N85" s="49"/>
      <c r="O85" s="50"/>
    </row>
    <row r="86" spans="1:15" x14ac:dyDescent="0.25">
      <c r="A86" s="48">
        <v>45795</v>
      </c>
      <c r="B86" s="49">
        <v>4.0999999999999996</v>
      </c>
      <c r="C86" s="49">
        <v>8.1999999999999993</v>
      </c>
      <c r="D86" s="50">
        <v>252.14999999999998</v>
      </c>
      <c r="E86" s="49"/>
      <c r="F86" s="49"/>
      <c r="G86" s="50"/>
      <c r="I86" s="48">
        <v>45795</v>
      </c>
      <c r="J86" s="49">
        <v>1.6</v>
      </c>
      <c r="K86" s="49">
        <v>7.5</v>
      </c>
      <c r="L86" s="50">
        <v>90</v>
      </c>
      <c r="M86" s="49"/>
      <c r="N86" s="49"/>
      <c r="O86" s="50"/>
    </row>
    <row r="87" spans="1:15" x14ac:dyDescent="0.25">
      <c r="A87" s="48">
        <v>45796</v>
      </c>
      <c r="B87" s="49">
        <v>3.6</v>
      </c>
      <c r="C87" s="49">
        <v>7.5</v>
      </c>
      <c r="D87" s="50">
        <v>202.5</v>
      </c>
      <c r="E87" s="49"/>
      <c r="F87" s="49"/>
      <c r="G87" s="50"/>
      <c r="I87" s="48">
        <v>45796</v>
      </c>
      <c r="J87" s="49">
        <v>1.6</v>
      </c>
      <c r="K87" s="49">
        <v>7.2</v>
      </c>
      <c r="L87" s="50">
        <v>86.4</v>
      </c>
      <c r="M87" s="49"/>
      <c r="N87" s="49"/>
      <c r="O87" s="50"/>
    </row>
    <row r="88" spans="1:15" x14ac:dyDescent="0.25">
      <c r="A88" s="48">
        <v>45797</v>
      </c>
      <c r="B88" s="49">
        <v>3.6</v>
      </c>
      <c r="C88" s="49">
        <v>8</v>
      </c>
      <c r="D88" s="50">
        <v>216</v>
      </c>
      <c r="E88" s="49"/>
      <c r="F88" s="49"/>
      <c r="G88" s="50"/>
      <c r="I88" s="48">
        <v>45797</v>
      </c>
      <c r="J88" s="49">
        <v>1.6</v>
      </c>
      <c r="K88" s="49">
        <v>7.3</v>
      </c>
      <c r="L88" s="50">
        <v>87.600000000000009</v>
      </c>
      <c r="M88" s="49"/>
      <c r="N88" s="49"/>
      <c r="O88" s="50"/>
    </row>
    <row r="89" spans="1:15" x14ac:dyDescent="0.25">
      <c r="A89" s="48">
        <v>45798</v>
      </c>
      <c r="B89" s="49">
        <v>4</v>
      </c>
      <c r="C89" s="49">
        <v>7.8</v>
      </c>
      <c r="D89" s="50">
        <v>234</v>
      </c>
      <c r="E89" s="49"/>
      <c r="F89" s="49"/>
      <c r="G89" s="50"/>
      <c r="I89" s="48">
        <v>45798</v>
      </c>
      <c r="J89" s="49">
        <v>1.4</v>
      </c>
      <c r="K89" s="49">
        <v>6.6</v>
      </c>
      <c r="L89" s="50">
        <v>69.3</v>
      </c>
      <c r="M89" s="49"/>
      <c r="N89" s="49"/>
      <c r="O89" s="50"/>
    </row>
    <row r="90" spans="1:15" x14ac:dyDescent="0.25">
      <c r="A90" s="48">
        <v>45799</v>
      </c>
      <c r="B90" s="49">
        <v>4.3</v>
      </c>
      <c r="C90" s="49">
        <v>8</v>
      </c>
      <c r="D90" s="50">
        <v>258</v>
      </c>
      <c r="E90" s="49"/>
      <c r="F90" s="49"/>
      <c r="G90" s="50"/>
      <c r="I90" s="48">
        <v>45799</v>
      </c>
      <c r="J90" s="49">
        <v>1.6</v>
      </c>
      <c r="K90" s="49">
        <v>8</v>
      </c>
      <c r="L90" s="50">
        <v>96</v>
      </c>
      <c r="M90" s="49"/>
      <c r="N90" s="49"/>
      <c r="O90" s="50"/>
    </row>
    <row r="91" spans="1:15" x14ac:dyDescent="0.25">
      <c r="A91" s="48">
        <v>45800</v>
      </c>
      <c r="B91" s="49">
        <v>3.9</v>
      </c>
      <c r="C91" s="49">
        <v>7.4</v>
      </c>
      <c r="D91" s="50">
        <v>216.45</v>
      </c>
      <c r="E91" s="49"/>
      <c r="F91" s="49"/>
      <c r="G91" s="50"/>
      <c r="I91" s="48">
        <v>45800</v>
      </c>
      <c r="J91" s="49">
        <v>1.5</v>
      </c>
      <c r="K91" s="49">
        <v>8.1999999999999993</v>
      </c>
      <c r="L91" s="50">
        <v>92.25</v>
      </c>
      <c r="M91" s="49"/>
      <c r="N91" s="49"/>
      <c r="O91" s="50"/>
    </row>
    <row r="92" spans="1:15" x14ac:dyDescent="0.25">
      <c r="A92" s="48">
        <v>45801</v>
      </c>
      <c r="B92" s="49">
        <v>4.3</v>
      </c>
      <c r="C92" s="49">
        <v>8.5</v>
      </c>
      <c r="D92" s="50">
        <v>274.125</v>
      </c>
      <c r="E92" s="49"/>
      <c r="F92" s="49"/>
      <c r="G92" s="50"/>
      <c r="I92" s="48">
        <v>45801</v>
      </c>
      <c r="J92" s="49">
        <v>1.5</v>
      </c>
      <c r="K92" s="49">
        <v>7.9</v>
      </c>
      <c r="L92" s="50">
        <v>88.875</v>
      </c>
      <c r="M92" s="49"/>
      <c r="N92" s="49"/>
      <c r="O92" s="50"/>
    </row>
    <row r="93" spans="1:15" x14ac:dyDescent="0.25">
      <c r="A93" s="48">
        <v>45802</v>
      </c>
      <c r="B93" s="49">
        <v>4.0999999999999996</v>
      </c>
      <c r="C93" s="49">
        <v>8</v>
      </c>
      <c r="D93" s="50">
        <v>245.99999999999997</v>
      </c>
      <c r="E93" s="49"/>
      <c r="F93" s="49"/>
      <c r="G93" s="50"/>
      <c r="I93" s="48">
        <v>45802</v>
      </c>
      <c r="J93" s="49">
        <v>1.5</v>
      </c>
      <c r="K93" s="49">
        <v>8.1999999999999993</v>
      </c>
      <c r="L93" s="50">
        <v>92.25</v>
      </c>
      <c r="M93" s="49"/>
      <c r="N93" s="49"/>
      <c r="O93" s="50"/>
    </row>
    <row r="94" spans="1:15" x14ac:dyDescent="0.25">
      <c r="A94" s="48">
        <v>45803</v>
      </c>
      <c r="B94" s="49">
        <v>4.2</v>
      </c>
      <c r="C94" s="49">
        <v>8</v>
      </c>
      <c r="D94" s="50">
        <v>252</v>
      </c>
      <c r="E94" s="49"/>
      <c r="F94" s="49"/>
      <c r="G94" s="50"/>
      <c r="I94" s="48">
        <v>45803</v>
      </c>
      <c r="J94" s="49">
        <v>1</v>
      </c>
      <c r="K94" s="49">
        <v>7.4</v>
      </c>
      <c r="L94" s="50">
        <v>55.5</v>
      </c>
      <c r="M94" s="49"/>
      <c r="N94" s="49"/>
      <c r="O94" s="50"/>
    </row>
    <row r="95" spans="1:15" x14ac:dyDescent="0.25">
      <c r="A95" s="48">
        <v>45804</v>
      </c>
      <c r="B95" s="49">
        <v>5.0999999999999996</v>
      </c>
      <c r="C95" s="49">
        <v>8</v>
      </c>
      <c r="D95" s="50">
        <v>306</v>
      </c>
      <c r="E95" s="49"/>
      <c r="F95" s="49"/>
      <c r="G95" s="50"/>
      <c r="I95" s="48">
        <v>45804</v>
      </c>
      <c r="J95" s="49">
        <v>1.1000000000000001</v>
      </c>
      <c r="K95" s="49">
        <v>8.1999999999999993</v>
      </c>
      <c r="L95" s="50">
        <v>67.650000000000006</v>
      </c>
      <c r="M95" s="49"/>
      <c r="N95" s="49"/>
      <c r="O95" s="50"/>
    </row>
    <row r="96" spans="1:15" x14ac:dyDescent="0.25">
      <c r="A96" s="48">
        <v>45805</v>
      </c>
      <c r="B96" s="49">
        <v>5.5</v>
      </c>
      <c r="C96" s="49">
        <v>7.8</v>
      </c>
      <c r="D96" s="50">
        <v>321.75</v>
      </c>
      <c r="E96" s="49"/>
      <c r="F96" s="49"/>
      <c r="G96" s="50"/>
      <c r="I96" s="48">
        <v>45805</v>
      </c>
      <c r="J96" s="49">
        <v>1.1000000000000001</v>
      </c>
      <c r="K96" s="49">
        <v>7.5</v>
      </c>
      <c r="L96" s="50">
        <v>61.875000000000007</v>
      </c>
      <c r="M96" s="49"/>
      <c r="N96" s="49"/>
      <c r="O96" s="50"/>
    </row>
    <row r="97" spans="1:17" x14ac:dyDescent="0.25">
      <c r="A97" s="48">
        <v>45806</v>
      </c>
      <c r="B97" s="49">
        <v>5.0999999999999996</v>
      </c>
      <c r="C97" s="49">
        <v>8.5</v>
      </c>
      <c r="D97" s="50">
        <v>325.125</v>
      </c>
      <c r="E97" s="49"/>
      <c r="F97" s="49"/>
      <c r="G97" s="50"/>
      <c r="I97" s="48">
        <v>45806</v>
      </c>
      <c r="J97" s="49">
        <v>1.1000000000000001</v>
      </c>
      <c r="K97" s="49">
        <v>8</v>
      </c>
      <c r="L97" s="50">
        <v>66</v>
      </c>
      <c r="M97" s="49"/>
      <c r="N97" s="49"/>
      <c r="O97" s="50"/>
    </row>
    <row r="98" spans="1:17" x14ac:dyDescent="0.25">
      <c r="A98" s="48">
        <v>45807</v>
      </c>
      <c r="B98" s="49">
        <v>4.5</v>
      </c>
      <c r="C98" s="49">
        <v>8.1999999999999993</v>
      </c>
      <c r="D98" s="50">
        <v>276.75</v>
      </c>
      <c r="E98" s="49"/>
      <c r="F98" s="49"/>
      <c r="G98" s="50"/>
      <c r="I98" s="48">
        <v>45807</v>
      </c>
      <c r="J98" s="49"/>
      <c r="K98" s="49"/>
      <c r="L98" s="50"/>
      <c r="M98" s="49"/>
      <c r="N98" s="49"/>
      <c r="O98" s="50"/>
    </row>
    <row r="99" spans="1:17" x14ac:dyDescent="0.25">
      <c r="A99" s="48">
        <v>45808</v>
      </c>
      <c r="B99" s="49">
        <v>5.0999999999999996</v>
      </c>
      <c r="C99" s="49">
        <v>8.1999999999999993</v>
      </c>
      <c r="D99" s="50">
        <v>313.64999999999998</v>
      </c>
      <c r="E99" s="49"/>
      <c r="F99" s="49"/>
      <c r="G99" s="50"/>
      <c r="I99" s="48">
        <v>45808</v>
      </c>
      <c r="J99" s="49">
        <v>1.6</v>
      </c>
      <c r="K99" s="49">
        <v>8</v>
      </c>
      <c r="L99" s="50">
        <v>96</v>
      </c>
      <c r="M99" s="49"/>
      <c r="N99" s="49"/>
      <c r="O99" s="50"/>
    </row>
    <row r="100" spans="1:17" ht="1.5" customHeight="1" x14ac:dyDescent="0.25">
      <c r="A100" s="44"/>
      <c r="B100" s="21"/>
      <c r="C100" s="21"/>
      <c r="D100" s="21"/>
      <c r="E100" s="21"/>
      <c r="F100" s="21"/>
      <c r="G100" s="21"/>
      <c r="I100" s="44"/>
      <c r="J100" s="21"/>
      <c r="K100" s="21"/>
      <c r="L100" s="21"/>
      <c r="M100" s="21"/>
      <c r="N100" s="21"/>
      <c r="O100" s="21"/>
    </row>
    <row r="101" spans="1:17" x14ac:dyDescent="0.25">
      <c r="A101" s="21"/>
      <c r="B101" s="194" t="s">
        <v>39</v>
      </c>
      <c r="C101" s="194"/>
      <c r="D101" s="194"/>
      <c r="E101" s="194"/>
      <c r="F101" s="194"/>
      <c r="G101" s="98">
        <v>70.2</v>
      </c>
      <c r="I101" s="21"/>
      <c r="J101" s="194" t="s">
        <v>39</v>
      </c>
      <c r="K101" s="194"/>
      <c r="L101" s="194"/>
      <c r="M101" s="194"/>
      <c r="N101" s="194"/>
      <c r="O101" s="98">
        <v>21.400000000000006</v>
      </c>
    </row>
    <row r="102" spans="1:17" x14ac:dyDescent="0.25">
      <c r="A102" s="21"/>
      <c r="B102" s="194" t="s">
        <v>40</v>
      </c>
      <c r="C102" s="194"/>
      <c r="D102" s="194"/>
      <c r="E102" s="194"/>
      <c r="F102" s="194"/>
      <c r="G102" s="109">
        <v>4221</v>
      </c>
      <c r="I102" s="21"/>
      <c r="J102" s="194" t="s">
        <v>40</v>
      </c>
      <c r="K102" s="194"/>
      <c r="L102" s="194"/>
      <c r="M102" s="194"/>
      <c r="N102" s="194"/>
      <c r="O102" s="109">
        <v>1227.3000000000002</v>
      </c>
    </row>
    <row r="103" spans="1:17" x14ac:dyDescent="0.25">
      <c r="A103" s="21"/>
      <c r="B103" s="194" t="s">
        <v>46</v>
      </c>
      <c r="C103" s="194"/>
      <c r="D103" s="194"/>
      <c r="E103" s="194"/>
      <c r="F103" s="194"/>
      <c r="G103" s="104">
        <v>2000</v>
      </c>
      <c r="I103" s="21"/>
      <c r="J103" s="194" t="s">
        <v>46</v>
      </c>
      <c r="K103" s="194"/>
      <c r="L103" s="194"/>
      <c r="M103" s="194"/>
      <c r="N103" s="194"/>
      <c r="O103" s="104">
        <v>1000</v>
      </c>
    </row>
    <row r="104" spans="1:17" ht="15.75" x14ac:dyDescent="0.25">
      <c r="A104" s="21"/>
      <c r="B104" s="195" t="s">
        <v>41</v>
      </c>
      <c r="C104" s="195"/>
      <c r="D104" s="195"/>
      <c r="E104" s="195"/>
      <c r="F104" s="195"/>
      <c r="G104" s="108">
        <v>2221</v>
      </c>
      <c r="I104" s="21"/>
      <c r="J104" s="195" t="s">
        <v>41</v>
      </c>
      <c r="K104" s="195"/>
      <c r="L104" s="195"/>
      <c r="M104" s="195"/>
      <c r="N104" s="195"/>
      <c r="O104" s="108">
        <v>227.30000000000018</v>
      </c>
    </row>
    <row r="105" spans="1:17" ht="6.75" customHeight="1" x14ac:dyDescent="0.25">
      <c r="Q105" s="45"/>
    </row>
    <row r="106" spans="1:17" ht="6.75" customHeight="1" x14ac:dyDescent="0.25"/>
    <row r="107" spans="1:17" x14ac:dyDescent="0.25">
      <c r="A107" s="200" t="s">
        <v>34</v>
      </c>
      <c r="B107" s="200"/>
      <c r="C107" s="51">
        <v>9</v>
      </c>
      <c r="D107" s="46" t="s">
        <v>36</v>
      </c>
      <c r="E107" s="198">
        <v>45793</v>
      </c>
      <c r="F107" s="198"/>
      <c r="G107" s="198"/>
      <c r="I107" s="200" t="s">
        <v>34</v>
      </c>
      <c r="J107" s="200"/>
      <c r="K107" s="51">
        <v>10</v>
      </c>
      <c r="L107" s="46" t="s">
        <v>36</v>
      </c>
      <c r="M107" s="198">
        <v>45793</v>
      </c>
      <c r="N107" s="198"/>
      <c r="O107" s="198"/>
    </row>
    <row r="108" spans="1:17" x14ac:dyDescent="0.25">
      <c r="A108" s="200" t="s">
        <v>35</v>
      </c>
      <c r="B108" s="200"/>
      <c r="C108" s="199" t="s">
        <v>66</v>
      </c>
      <c r="D108" s="199"/>
      <c r="E108" s="199"/>
      <c r="F108" s="199"/>
      <c r="G108" s="199"/>
      <c r="I108" s="200" t="s">
        <v>35</v>
      </c>
      <c r="J108" s="200"/>
      <c r="K108" s="199" t="s">
        <v>10</v>
      </c>
      <c r="L108" s="199"/>
      <c r="M108" s="199"/>
      <c r="N108" s="199"/>
      <c r="O108" s="199"/>
    </row>
    <row r="109" spans="1:17" x14ac:dyDescent="0.25">
      <c r="A109" s="197" t="s">
        <v>28</v>
      </c>
      <c r="B109" s="196" t="s">
        <v>29</v>
      </c>
      <c r="C109" s="196"/>
      <c r="D109" s="196"/>
      <c r="E109" s="196" t="s">
        <v>30</v>
      </c>
      <c r="F109" s="196"/>
      <c r="G109" s="196"/>
      <c r="I109" s="197" t="s">
        <v>28</v>
      </c>
      <c r="J109" s="196" t="s">
        <v>29</v>
      </c>
      <c r="K109" s="196"/>
      <c r="L109" s="196"/>
      <c r="M109" s="196" t="s">
        <v>30</v>
      </c>
      <c r="N109" s="196"/>
      <c r="O109" s="196"/>
    </row>
    <row r="110" spans="1:17" ht="27.75" customHeight="1" x14ac:dyDescent="0.25">
      <c r="A110" s="197"/>
      <c r="B110" s="47" t="s">
        <v>33</v>
      </c>
      <c r="C110" s="47" t="s">
        <v>32</v>
      </c>
      <c r="D110" s="47" t="s">
        <v>31</v>
      </c>
      <c r="E110" s="47" t="s">
        <v>33</v>
      </c>
      <c r="F110" s="47" t="s">
        <v>32</v>
      </c>
      <c r="G110" s="47" t="s">
        <v>31</v>
      </c>
      <c r="I110" s="197"/>
      <c r="J110" s="47" t="s">
        <v>33</v>
      </c>
      <c r="K110" s="47" t="s">
        <v>32</v>
      </c>
      <c r="L110" s="47" t="s">
        <v>31</v>
      </c>
      <c r="M110" s="47" t="s">
        <v>33</v>
      </c>
      <c r="N110" s="47" t="s">
        <v>32</v>
      </c>
      <c r="O110" s="47" t="s">
        <v>31</v>
      </c>
    </row>
    <row r="111" spans="1:17" x14ac:dyDescent="0.25">
      <c r="A111" s="48">
        <v>45793</v>
      </c>
      <c r="B111" s="49">
        <v>1.2</v>
      </c>
      <c r="C111" s="49">
        <v>9.3000000000000007</v>
      </c>
      <c r="D111" s="50">
        <v>83.7</v>
      </c>
      <c r="E111" s="49">
        <v>1.1000000000000001</v>
      </c>
      <c r="F111" s="49">
        <v>6.7</v>
      </c>
      <c r="G111" s="50">
        <v>55.275000000000006</v>
      </c>
      <c r="I111" s="48">
        <v>45793</v>
      </c>
      <c r="J111" s="49">
        <v>2.9</v>
      </c>
      <c r="K111" s="49">
        <v>9.4</v>
      </c>
      <c r="L111" s="50">
        <v>204.45</v>
      </c>
      <c r="M111" s="49"/>
      <c r="N111" s="49"/>
      <c r="O111" s="50"/>
    </row>
    <row r="112" spans="1:17" x14ac:dyDescent="0.25">
      <c r="A112" s="48">
        <v>45794</v>
      </c>
      <c r="B112" s="49">
        <v>1.1000000000000001</v>
      </c>
      <c r="C112" s="49">
        <v>6.8</v>
      </c>
      <c r="D112" s="50">
        <v>56.1</v>
      </c>
      <c r="E112" s="49">
        <v>1.2</v>
      </c>
      <c r="F112" s="49">
        <v>6.8</v>
      </c>
      <c r="G112" s="50">
        <v>61.199999999999996</v>
      </c>
      <c r="I112" s="48">
        <v>45794</v>
      </c>
      <c r="J112" s="49">
        <v>2.8</v>
      </c>
      <c r="K112" s="49">
        <v>9.4</v>
      </c>
      <c r="L112" s="50">
        <v>197.39999999999998</v>
      </c>
      <c r="M112" s="49"/>
      <c r="N112" s="49"/>
      <c r="O112" s="50"/>
    </row>
    <row r="113" spans="1:15" x14ac:dyDescent="0.25">
      <c r="A113" s="48">
        <v>45795</v>
      </c>
      <c r="B113" s="49">
        <v>1.1000000000000001</v>
      </c>
      <c r="C113" s="49">
        <v>7.4</v>
      </c>
      <c r="D113" s="50">
        <v>61.050000000000004</v>
      </c>
      <c r="E113" s="49">
        <v>1.2</v>
      </c>
      <c r="F113" s="49">
        <v>7.6</v>
      </c>
      <c r="G113" s="50">
        <v>68.399999999999991</v>
      </c>
      <c r="I113" s="48">
        <v>45795</v>
      </c>
      <c r="J113" s="49">
        <v>2.2999999999999998</v>
      </c>
      <c r="K113" s="49">
        <v>10</v>
      </c>
      <c r="L113" s="50">
        <v>172.5</v>
      </c>
      <c r="M113" s="49"/>
      <c r="N113" s="49"/>
      <c r="O113" s="50"/>
    </row>
    <row r="114" spans="1:15" x14ac:dyDescent="0.25">
      <c r="A114" s="48">
        <v>45796</v>
      </c>
      <c r="B114" s="49">
        <v>1</v>
      </c>
      <c r="C114" s="49">
        <v>7.1</v>
      </c>
      <c r="D114" s="50">
        <v>53.25</v>
      </c>
      <c r="E114" s="49">
        <v>1.1000000000000001</v>
      </c>
      <c r="F114" s="49">
        <v>6.2</v>
      </c>
      <c r="G114" s="50">
        <v>51.150000000000006</v>
      </c>
      <c r="I114" s="48">
        <v>45796</v>
      </c>
      <c r="J114" s="49"/>
      <c r="K114" s="49"/>
      <c r="L114" s="50"/>
      <c r="M114" s="49">
        <v>2.1</v>
      </c>
      <c r="N114" s="49">
        <v>9.1999999999999993</v>
      </c>
      <c r="O114" s="50">
        <v>144.9</v>
      </c>
    </row>
    <row r="115" spans="1:15" x14ac:dyDescent="0.25">
      <c r="A115" s="48">
        <v>45797</v>
      </c>
      <c r="B115" s="49">
        <v>1.1000000000000001</v>
      </c>
      <c r="C115" s="49">
        <v>7.8</v>
      </c>
      <c r="D115" s="50">
        <v>64.350000000000009</v>
      </c>
      <c r="E115" s="49">
        <v>1.2</v>
      </c>
      <c r="F115" s="49">
        <v>6</v>
      </c>
      <c r="G115" s="50">
        <v>54</v>
      </c>
      <c r="I115" s="48">
        <v>45797</v>
      </c>
      <c r="J115" s="49">
        <v>1.9</v>
      </c>
      <c r="K115" s="49">
        <v>9.8000000000000007</v>
      </c>
      <c r="L115" s="50">
        <v>139.65</v>
      </c>
      <c r="M115" s="49"/>
      <c r="N115" s="49"/>
      <c r="O115" s="50"/>
    </row>
    <row r="116" spans="1:15" x14ac:dyDescent="0.25">
      <c r="A116" s="48">
        <v>45798</v>
      </c>
      <c r="B116" s="49">
        <v>1.4</v>
      </c>
      <c r="C116" s="49">
        <v>7.4</v>
      </c>
      <c r="D116" s="50">
        <v>77.699999999999989</v>
      </c>
      <c r="E116" s="49">
        <v>0.9</v>
      </c>
      <c r="F116" s="49">
        <v>7.5</v>
      </c>
      <c r="G116" s="50">
        <v>50.625</v>
      </c>
      <c r="I116" s="48">
        <v>45798</v>
      </c>
      <c r="J116" s="49">
        <v>2.2999999999999998</v>
      </c>
      <c r="K116" s="49">
        <v>9.4</v>
      </c>
      <c r="L116" s="50">
        <v>162.14999999999998</v>
      </c>
      <c r="M116" s="49"/>
      <c r="N116" s="49"/>
      <c r="O116" s="50"/>
    </row>
    <row r="117" spans="1:15" x14ac:dyDescent="0.25">
      <c r="A117" s="48">
        <v>45799</v>
      </c>
      <c r="B117" s="49">
        <v>1.3</v>
      </c>
      <c r="C117" s="49">
        <v>8.1999999999999993</v>
      </c>
      <c r="D117" s="50">
        <v>79.95</v>
      </c>
      <c r="E117" s="49">
        <v>1.2</v>
      </c>
      <c r="F117" s="49">
        <v>7.2</v>
      </c>
      <c r="G117" s="50">
        <v>64.8</v>
      </c>
      <c r="I117" s="48">
        <v>45799</v>
      </c>
      <c r="J117" s="49"/>
      <c r="K117" s="49"/>
      <c r="L117" s="50"/>
      <c r="M117" s="49"/>
      <c r="N117" s="49"/>
      <c r="O117" s="50"/>
    </row>
    <row r="118" spans="1:15" x14ac:dyDescent="0.25">
      <c r="A118" s="48">
        <v>45800</v>
      </c>
      <c r="B118" s="49">
        <v>1.2</v>
      </c>
      <c r="C118" s="49">
        <v>7.8</v>
      </c>
      <c r="D118" s="50">
        <v>70.2</v>
      </c>
      <c r="E118" s="49">
        <v>1.1000000000000001</v>
      </c>
      <c r="F118" s="49">
        <v>7.2</v>
      </c>
      <c r="G118" s="50">
        <v>59.400000000000006</v>
      </c>
      <c r="I118" s="48">
        <v>45800</v>
      </c>
      <c r="J118" s="49"/>
      <c r="K118" s="49"/>
      <c r="L118" s="50"/>
      <c r="M118" s="49"/>
      <c r="N118" s="49"/>
      <c r="O118" s="50"/>
    </row>
    <row r="119" spans="1:15" x14ac:dyDescent="0.25">
      <c r="A119" s="48">
        <v>45801</v>
      </c>
      <c r="B119" s="49">
        <v>1.2</v>
      </c>
      <c r="C119" s="49">
        <v>8</v>
      </c>
      <c r="D119" s="50">
        <v>72</v>
      </c>
      <c r="E119" s="49">
        <v>1.1000000000000001</v>
      </c>
      <c r="F119" s="49">
        <v>6.7</v>
      </c>
      <c r="G119" s="50">
        <v>55.275000000000006</v>
      </c>
      <c r="I119" s="48">
        <v>45801</v>
      </c>
      <c r="J119" s="49"/>
      <c r="K119" s="49"/>
      <c r="L119" s="50"/>
      <c r="M119" s="49"/>
      <c r="N119" s="49"/>
      <c r="O119" s="50"/>
    </row>
    <row r="120" spans="1:15" x14ac:dyDescent="0.25">
      <c r="A120" s="48">
        <v>45802</v>
      </c>
      <c r="B120" s="49">
        <v>1.1000000000000001</v>
      </c>
      <c r="C120" s="49">
        <v>7.6</v>
      </c>
      <c r="D120" s="50">
        <v>62.7</v>
      </c>
      <c r="E120" s="49">
        <v>1.2</v>
      </c>
      <c r="F120" s="49">
        <v>7.1</v>
      </c>
      <c r="G120" s="50">
        <v>63.9</v>
      </c>
      <c r="I120" s="48">
        <v>45802</v>
      </c>
      <c r="J120" s="49"/>
      <c r="K120" s="49"/>
      <c r="L120" s="50"/>
      <c r="M120" s="49"/>
      <c r="N120" s="49"/>
      <c r="O120" s="50"/>
    </row>
    <row r="121" spans="1:15" x14ac:dyDescent="0.25">
      <c r="A121" s="48">
        <v>45803</v>
      </c>
      <c r="B121" s="49">
        <v>1.4</v>
      </c>
      <c r="C121" s="49">
        <v>8.6999999999999993</v>
      </c>
      <c r="D121" s="50">
        <v>91.35</v>
      </c>
      <c r="E121" s="49">
        <v>1</v>
      </c>
      <c r="F121" s="49">
        <v>7.3</v>
      </c>
      <c r="G121" s="50">
        <v>54.75</v>
      </c>
      <c r="I121" s="48">
        <v>45803</v>
      </c>
      <c r="J121" s="49">
        <v>2.9</v>
      </c>
      <c r="K121" s="49">
        <v>9.1999999999999993</v>
      </c>
      <c r="L121" s="50">
        <v>200.1</v>
      </c>
      <c r="M121" s="49"/>
      <c r="N121" s="49"/>
      <c r="O121" s="50"/>
    </row>
    <row r="122" spans="1:15" x14ac:dyDescent="0.25">
      <c r="A122" s="48">
        <v>45804</v>
      </c>
      <c r="B122" s="49">
        <v>1.4</v>
      </c>
      <c r="C122" s="49">
        <v>7.5</v>
      </c>
      <c r="D122" s="50">
        <v>78.75</v>
      </c>
      <c r="E122" s="49">
        <v>0.9</v>
      </c>
      <c r="F122" s="49">
        <v>7.5</v>
      </c>
      <c r="G122" s="50">
        <v>50.625</v>
      </c>
      <c r="I122" s="48">
        <v>45804</v>
      </c>
      <c r="J122" s="49"/>
      <c r="K122" s="49"/>
      <c r="L122" s="50"/>
      <c r="M122" s="49"/>
      <c r="N122" s="49"/>
      <c r="O122" s="50"/>
    </row>
    <row r="123" spans="1:15" x14ac:dyDescent="0.25">
      <c r="A123" s="48">
        <v>45805</v>
      </c>
      <c r="B123" s="49">
        <v>1.5</v>
      </c>
      <c r="C123" s="49">
        <v>8</v>
      </c>
      <c r="D123" s="50">
        <v>90</v>
      </c>
      <c r="E123" s="49">
        <v>1.1000000000000001</v>
      </c>
      <c r="F123" s="49">
        <v>7.8</v>
      </c>
      <c r="G123" s="50">
        <v>64.350000000000009</v>
      </c>
      <c r="I123" s="48">
        <v>45805</v>
      </c>
      <c r="J123" s="49"/>
      <c r="K123" s="49"/>
      <c r="L123" s="50"/>
      <c r="M123" s="49"/>
      <c r="N123" s="49"/>
      <c r="O123" s="50"/>
    </row>
    <row r="124" spans="1:15" x14ac:dyDescent="0.25">
      <c r="A124" s="48">
        <v>45806</v>
      </c>
      <c r="B124" s="49">
        <v>1.4</v>
      </c>
      <c r="C124" s="49">
        <v>8.6</v>
      </c>
      <c r="D124" s="50">
        <v>90.3</v>
      </c>
      <c r="E124" s="49">
        <v>0.9</v>
      </c>
      <c r="F124" s="49">
        <v>6.8</v>
      </c>
      <c r="G124" s="50">
        <v>45.9</v>
      </c>
      <c r="I124" s="48">
        <v>45806</v>
      </c>
      <c r="J124" s="49"/>
      <c r="K124" s="49"/>
      <c r="L124" s="50"/>
      <c r="M124" s="49"/>
      <c r="N124" s="49"/>
      <c r="O124" s="50"/>
    </row>
    <row r="125" spans="1:15" x14ac:dyDescent="0.25">
      <c r="A125" s="48">
        <v>45807</v>
      </c>
      <c r="B125" s="49">
        <v>1.4</v>
      </c>
      <c r="C125" s="49">
        <v>7.8</v>
      </c>
      <c r="D125" s="50">
        <v>81.899999999999991</v>
      </c>
      <c r="E125" s="49">
        <v>1.2</v>
      </c>
      <c r="F125" s="49">
        <v>8.5</v>
      </c>
      <c r="G125" s="50">
        <v>76.5</v>
      </c>
      <c r="I125" s="48">
        <v>45807</v>
      </c>
      <c r="J125" s="49">
        <v>2.2000000000000002</v>
      </c>
      <c r="K125" s="49">
        <v>8.5</v>
      </c>
      <c r="L125" s="50">
        <v>140.25</v>
      </c>
      <c r="M125" s="49"/>
      <c r="N125" s="49"/>
      <c r="O125" s="50"/>
    </row>
    <row r="126" spans="1:15" x14ac:dyDescent="0.25">
      <c r="A126" s="48">
        <v>45808</v>
      </c>
      <c r="B126" s="49">
        <v>1.3</v>
      </c>
      <c r="C126" s="49">
        <v>7.8</v>
      </c>
      <c r="D126" s="50">
        <v>76.05</v>
      </c>
      <c r="E126" s="49">
        <v>1.2</v>
      </c>
      <c r="F126" s="49">
        <v>8.6</v>
      </c>
      <c r="G126" s="50">
        <v>77.399999999999991</v>
      </c>
      <c r="I126" s="48">
        <v>45808</v>
      </c>
      <c r="J126" s="49">
        <v>2.1</v>
      </c>
      <c r="K126" s="49">
        <v>9</v>
      </c>
      <c r="L126" s="50">
        <v>141.75</v>
      </c>
      <c r="M126" s="49"/>
      <c r="N126" s="49"/>
      <c r="O126" s="50"/>
    </row>
    <row r="127" spans="1:15" ht="1.5" customHeight="1" x14ac:dyDescent="0.25">
      <c r="A127" s="44"/>
      <c r="B127" s="21"/>
      <c r="C127" s="21"/>
      <c r="D127" s="21"/>
      <c r="E127" s="21"/>
      <c r="F127" s="21"/>
      <c r="G127" s="21"/>
      <c r="I127" s="44"/>
      <c r="J127" s="21"/>
      <c r="K127" s="21"/>
      <c r="L127" s="21"/>
      <c r="M127" s="21"/>
      <c r="N127" s="21"/>
      <c r="O127" s="21"/>
    </row>
    <row r="128" spans="1:15" x14ac:dyDescent="0.25">
      <c r="A128" s="21"/>
      <c r="B128" s="194" t="s">
        <v>39</v>
      </c>
      <c r="C128" s="194"/>
      <c r="D128" s="194"/>
      <c r="E128" s="194"/>
      <c r="F128" s="194"/>
      <c r="G128" s="98">
        <v>37.699999999999996</v>
      </c>
      <c r="I128" s="21"/>
      <c r="J128" s="194" t="s">
        <v>39</v>
      </c>
      <c r="K128" s="194"/>
      <c r="L128" s="194"/>
      <c r="M128" s="194"/>
      <c r="N128" s="194"/>
      <c r="O128" s="98">
        <v>21.500000000000004</v>
      </c>
    </row>
    <row r="129" spans="1:15" x14ac:dyDescent="0.25">
      <c r="A129" s="21"/>
      <c r="B129" s="194" t="s">
        <v>40</v>
      </c>
      <c r="C129" s="194"/>
      <c r="D129" s="194"/>
      <c r="E129" s="194"/>
      <c r="F129" s="194"/>
      <c r="G129" s="109">
        <v>2142.9</v>
      </c>
      <c r="I129" s="21"/>
      <c r="J129" s="194" t="s">
        <v>40</v>
      </c>
      <c r="K129" s="194"/>
      <c r="L129" s="194"/>
      <c r="M129" s="194"/>
      <c r="N129" s="194"/>
      <c r="O129" s="109">
        <v>1503.1499999999999</v>
      </c>
    </row>
    <row r="130" spans="1:15" x14ac:dyDescent="0.25">
      <c r="A130" s="21"/>
      <c r="B130" s="194" t="s">
        <v>46</v>
      </c>
      <c r="C130" s="194"/>
      <c r="D130" s="194"/>
      <c r="E130" s="194"/>
      <c r="F130" s="194"/>
      <c r="G130" s="104">
        <v>0</v>
      </c>
      <c r="I130" s="21"/>
      <c r="J130" s="194" t="s">
        <v>46</v>
      </c>
      <c r="K130" s="194"/>
      <c r="L130" s="194"/>
      <c r="M130" s="194"/>
      <c r="N130" s="194"/>
      <c r="O130" s="104">
        <v>429</v>
      </c>
    </row>
    <row r="131" spans="1:15" ht="15.75" x14ac:dyDescent="0.25">
      <c r="A131" s="21"/>
      <c r="B131" s="195" t="s">
        <v>41</v>
      </c>
      <c r="C131" s="195"/>
      <c r="D131" s="195"/>
      <c r="E131" s="195"/>
      <c r="F131" s="195"/>
      <c r="G131" s="108">
        <v>2142.9</v>
      </c>
      <c r="I131" s="21"/>
      <c r="J131" s="195" t="s">
        <v>41</v>
      </c>
      <c r="K131" s="195"/>
      <c r="L131" s="195"/>
      <c r="M131" s="195"/>
      <c r="N131" s="195"/>
      <c r="O131" s="108">
        <v>1074.1499999999999</v>
      </c>
    </row>
    <row r="132" spans="1:15" ht="6.75" customHeight="1" x14ac:dyDescent="0.25"/>
    <row r="133" spans="1:15" x14ac:dyDescent="0.25">
      <c r="A133" s="200" t="s">
        <v>34</v>
      </c>
      <c r="B133" s="200"/>
      <c r="C133" s="51">
        <v>12</v>
      </c>
      <c r="D133" s="46" t="s">
        <v>36</v>
      </c>
      <c r="E133" s="198">
        <v>45793</v>
      </c>
      <c r="F133" s="198"/>
      <c r="G133" s="198"/>
      <c r="I133" s="200" t="s">
        <v>34</v>
      </c>
      <c r="J133" s="200"/>
      <c r="K133" s="51">
        <v>13</v>
      </c>
      <c r="L133" s="46" t="s">
        <v>36</v>
      </c>
      <c r="M133" s="198">
        <v>45793</v>
      </c>
      <c r="N133" s="198"/>
      <c r="O133" s="198"/>
    </row>
    <row r="134" spans="1:15" x14ac:dyDescent="0.25">
      <c r="A134" s="200" t="s">
        <v>35</v>
      </c>
      <c r="B134" s="200"/>
      <c r="C134" s="199" t="s">
        <v>11</v>
      </c>
      <c r="D134" s="199"/>
      <c r="E134" s="199"/>
      <c r="F134" s="199"/>
      <c r="G134" s="199"/>
      <c r="I134" s="200" t="s">
        <v>35</v>
      </c>
      <c r="J134" s="200"/>
      <c r="K134" s="199" t="s">
        <v>12</v>
      </c>
      <c r="L134" s="199"/>
      <c r="M134" s="199"/>
      <c r="N134" s="199"/>
      <c r="O134" s="199"/>
    </row>
    <row r="135" spans="1:15" x14ac:dyDescent="0.25">
      <c r="A135" s="197" t="s">
        <v>28</v>
      </c>
      <c r="B135" s="196" t="s">
        <v>29</v>
      </c>
      <c r="C135" s="196"/>
      <c r="D135" s="196"/>
      <c r="E135" s="196" t="s">
        <v>30</v>
      </c>
      <c r="F135" s="196"/>
      <c r="G135" s="196"/>
      <c r="I135" s="197" t="s">
        <v>28</v>
      </c>
      <c r="J135" s="196" t="s">
        <v>29</v>
      </c>
      <c r="K135" s="196"/>
      <c r="L135" s="196"/>
      <c r="M135" s="196" t="s">
        <v>30</v>
      </c>
      <c r="N135" s="196"/>
      <c r="O135" s="196"/>
    </row>
    <row r="136" spans="1:15" ht="25.5" customHeight="1" x14ac:dyDescent="0.25">
      <c r="A136" s="197"/>
      <c r="B136" s="47" t="s">
        <v>33</v>
      </c>
      <c r="C136" s="47" t="s">
        <v>32</v>
      </c>
      <c r="D136" s="47" t="s">
        <v>31</v>
      </c>
      <c r="E136" s="47" t="s">
        <v>33</v>
      </c>
      <c r="F136" s="47" t="s">
        <v>32</v>
      </c>
      <c r="G136" s="47" t="s">
        <v>31</v>
      </c>
      <c r="I136" s="197"/>
      <c r="J136" s="47" t="s">
        <v>33</v>
      </c>
      <c r="K136" s="47" t="s">
        <v>32</v>
      </c>
      <c r="L136" s="47" t="s">
        <v>31</v>
      </c>
      <c r="M136" s="47" t="s">
        <v>33</v>
      </c>
      <c r="N136" s="47" t="s">
        <v>32</v>
      </c>
      <c r="O136" s="47" t="s">
        <v>31</v>
      </c>
    </row>
    <row r="137" spans="1:15" x14ac:dyDescent="0.25">
      <c r="A137" s="48">
        <v>45793</v>
      </c>
      <c r="B137" s="49">
        <v>6.5</v>
      </c>
      <c r="C137" s="49">
        <v>8.1999999999999993</v>
      </c>
      <c r="D137" s="50">
        <v>399.75</v>
      </c>
      <c r="E137" s="49"/>
      <c r="F137" s="49"/>
      <c r="G137" s="50"/>
      <c r="I137" s="48">
        <v>45793</v>
      </c>
      <c r="J137" s="49">
        <v>3.4</v>
      </c>
      <c r="K137" s="49">
        <v>7.8</v>
      </c>
      <c r="L137" s="50">
        <v>198.9</v>
      </c>
      <c r="M137" s="49">
        <v>3.7</v>
      </c>
      <c r="N137" s="49">
        <v>6.9</v>
      </c>
      <c r="O137" s="50">
        <v>191.47500000000002</v>
      </c>
    </row>
    <row r="138" spans="1:15" x14ac:dyDescent="0.25">
      <c r="A138" s="48">
        <v>45794</v>
      </c>
      <c r="B138" s="49">
        <v>4.9000000000000004</v>
      </c>
      <c r="C138" s="49">
        <v>7.5</v>
      </c>
      <c r="D138" s="50">
        <v>275.625</v>
      </c>
      <c r="E138" s="49"/>
      <c r="F138" s="49"/>
      <c r="G138" s="50"/>
      <c r="I138" s="48">
        <v>45794</v>
      </c>
      <c r="J138" s="49">
        <v>3.6</v>
      </c>
      <c r="K138" s="49">
        <v>8.5</v>
      </c>
      <c r="L138" s="50">
        <v>229.5</v>
      </c>
      <c r="M138" s="49">
        <v>3.2</v>
      </c>
      <c r="N138" s="49">
        <v>7.3</v>
      </c>
      <c r="O138" s="50">
        <v>175.20000000000002</v>
      </c>
    </row>
    <row r="139" spans="1:15" x14ac:dyDescent="0.25">
      <c r="A139" s="48">
        <v>45795</v>
      </c>
      <c r="B139" s="49">
        <v>3.9</v>
      </c>
      <c r="C139" s="49">
        <v>7.8</v>
      </c>
      <c r="D139" s="50">
        <v>228.15</v>
      </c>
      <c r="E139" s="49"/>
      <c r="F139" s="49"/>
      <c r="G139" s="50"/>
      <c r="I139" s="48">
        <v>45795</v>
      </c>
      <c r="J139" s="49">
        <v>4.3</v>
      </c>
      <c r="K139" s="49">
        <v>7.5</v>
      </c>
      <c r="L139" s="50">
        <v>241.875</v>
      </c>
      <c r="M139" s="49">
        <v>4</v>
      </c>
      <c r="N139" s="49">
        <v>7.1</v>
      </c>
      <c r="O139" s="50">
        <v>213</v>
      </c>
    </row>
    <row r="140" spans="1:15" x14ac:dyDescent="0.25">
      <c r="A140" s="48">
        <v>45796</v>
      </c>
      <c r="B140" s="49">
        <v>4.7</v>
      </c>
      <c r="C140" s="49">
        <v>8</v>
      </c>
      <c r="D140" s="50">
        <v>282</v>
      </c>
      <c r="E140" s="49"/>
      <c r="F140" s="49"/>
      <c r="G140" s="50"/>
      <c r="I140" s="48">
        <v>45796</v>
      </c>
      <c r="J140" s="49">
        <v>3.9</v>
      </c>
      <c r="K140" s="49">
        <v>7.9</v>
      </c>
      <c r="L140" s="50">
        <v>231.07499999999999</v>
      </c>
      <c r="M140" s="49">
        <v>2.9</v>
      </c>
      <c r="N140" s="49">
        <v>7.2</v>
      </c>
      <c r="O140" s="50">
        <v>156.6</v>
      </c>
    </row>
    <row r="141" spans="1:15" x14ac:dyDescent="0.25">
      <c r="A141" s="48">
        <v>45797</v>
      </c>
      <c r="B141" s="49">
        <v>5</v>
      </c>
      <c r="C141" s="49">
        <v>8.1999999999999993</v>
      </c>
      <c r="D141" s="50">
        <v>307.5</v>
      </c>
      <c r="E141" s="49"/>
      <c r="F141" s="49"/>
      <c r="G141" s="50"/>
      <c r="I141" s="48">
        <v>45797</v>
      </c>
      <c r="J141" s="49">
        <v>2</v>
      </c>
      <c r="K141" s="49">
        <v>7.6</v>
      </c>
      <c r="L141" s="50">
        <v>114</v>
      </c>
      <c r="M141" s="49">
        <v>4.2</v>
      </c>
      <c r="N141" s="49">
        <v>7.9</v>
      </c>
      <c r="O141" s="50">
        <v>248.85000000000002</v>
      </c>
    </row>
    <row r="142" spans="1:15" x14ac:dyDescent="0.25">
      <c r="A142" s="48">
        <v>45798</v>
      </c>
      <c r="B142" s="49">
        <v>5.3</v>
      </c>
      <c r="C142" s="49">
        <v>8.3000000000000007</v>
      </c>
      <c r="D142" s="50">
        <v>329.92500000000001</v>
      </c>
      <c r="E142" s="49"/>
      <c r="F142" s="49"/>
      <c r="G142" s="50"/>
      <c r="I142" s="48">
        <v>45798</v>
      </c>
      <c r="J142" s="49">
        <v>3.5</v>
      </c>
      <c r="K142" s="49">
        <v>9.1</v>
      </c>
      <c r="L142" s="50">
        <v>238.875</v>
      </c>
      <c r="M142" s="49">
        <v>3.5</v>
      </c>
      <c r="N142" s="49">
        <v>7.3</v>
      </c>
      <c r="O142" s="50">
        <v>191.625</v>
      </c>
    </row>
    <row r="143" spans="1:15" x14ac:dyDescent="0.25">
      <c r="A143" s="48">
        <v>45799</v>
      </c>
      <c r="B143" s="49">
        <v>5.2</v>
      </c>
      <c r="C143" s="49">
        <v>7.9</v>
      </c>
      <c r="D143" s="50">
        <v>308.10000000000002</v>
      </c>
      <c r="E143" s="49"/>
      <c r="F143" s="49"/>
      <c r="G143" s="50"/>
      <c r="I143" s="48">
        <v>45799</v>
      </c>
      <c r="J143" s="49">
        <v>3.9</v>
      </c>
      <c r="K143" s="49">
        <v>7.4</v>
      </c>
      <c r="L143" s="50">
        <v>216.45</v>
      </c>
      <c r="M143" s="49">
        <v>3.1</v>
      </c>
      <c r="N143" s="49">
        <v>6.6</v>
      </c>
      <c r="O143" s="50">
        <v>153.45000000000002</v>
      </c>
    </row>
    <row r="144" spans="1:15" x14ac:dyDescent="0.25">
      <c r="A144" s="48">
        <v>45800</v>
      </c>
      <c r="B144" s="49">
        <v>6</v>
      </c>
      <c r="C144" s="49">
        <v>8.3000000000000007</v>
      </c>
      <c r="D144" s="50">
        <v>373.5</v>
      </c>
      <c r="E144" s="49"/>
      <c r="F144" s="49"/>
      <c r="G144" s="50"/>
      <c r="I144" s="48">
        <v>45800</v>
      </c>
      <c r="J144" s="49">
        <v>3.8</v>
      </c>
      <c r="K144" s="49">
        <v>7.5</v>
      </c>
      <c r="L144" s="50">
        <v>213.75</v>
      </c>
      <c r="M144" s="49">
        <v>3.3</v>
      </c>
      <c r="N144" s="49">
        <v>6.8</v>
      </c>
      <c r="O144" s="50">
        <v>168.29999999999998</v>
      </c>
    </row>
    <row r="145" spans="1:17" x14ac:dyDescent="0.25">
      <c r="A145" s="48">
        <v>45801</v>
      </c>
      <c r="B145" s="49">
        <v>5.7</v>
      </c>
      <c r="C145" s="49">
        <v>8.9</v>
      </c>
      <c r="D145" s="50">
        <v>380.47500000000002</v>
      </c>
      <c r="E145" s="49"/>
      <c r="F145" s="49"/>
      <c r="G145" s="50"/>
      <c r="I145" s="48">
        <v>45801</v>
      </c>
      <c r="J145" s="49">
        <v>2.2999999999999998</v>
      </c>
      <c r="K145" s="49">
        <v>8.4</v>
      </c>
      <c r="L145" s="50">
        <v>144.89999999999998</v>
      </c>
      <c r="M145" s="49">
        <v>3.8</v>
      </c>
      <c r="N145" s="49">
        <v>7.1</v>
      </c>
      <c r="O145" s="50">
        <v>202.35</v>
      </c>
    </row>
    <row r="146" spans="1:17" x14ac:dyDescent="0.25">
      <c r="A146" s="48">
        <v>45802</v>
      </c>
      <c r="B146" s="49">
        <v>4.7</v>
      </c>
      <c r="C146" s="49">
        <v>8.3000000000000007</v>
      </c>
      <c r="D146" s="50">
        <v>292.57499999999999</v>
      </c>
      <c r="E146" s="49"/>
      <c r="F146" s="49"/>
      <c r="G146" s="50"/>
      <c r="I146" s="48">
        <v>45802</v>
      </c>
      <c r="J146" s="49">
        <v>4.0999999999999996</v>
      </c>
      <c r="K146" s="49">
        <v>8.6999999999999993</v>
      </c>
      <c r="L146" s="50">
        <v>267.52499999999998</v>
      </c>
      <c r="M146" s="49">
        <v>2.7</v>
      </c>
      <c r="N146" s="49">
        <v>7.7</v>
      </c>
      <c r="O146" s="50">
        <v>155.92500000000001</v>
      </c>
    </row>
    <row r="147" spans="1:17" x14ac:dyDescent="0.25">
      <c r="A147" s="48">
        <v>45803</v>
      </c>
      <c r="B147" s="49">
        <v>6</v>
      </c>
      <c r="C147" s="49">
        <v>8.8000000000000007</v>
      </c>
      <c r="D147" s="50">
        <v>396</v>
      </c>
      <c r="E147" s="49"/>
      <c r="F147" s="49"/>
      <c r="G147" s="50"/>
      <c r="I147" s="48">
        <v>45803</v>
      </c>
      <c r="J147" s="49">
        <v>3.3</v>
      </c>
      <c r="K147" s="49">
        <v>8.5</v>
      </c>
      <c r="L147" s="50">
        <v>210.375</v>
      </c>
      <c r="M147" s="49">
        <v>3.4</v>
      </c>
      <c r="N147" s="49">
        <v>7.3</v>
      </c>
      <c r="O147" s="50">
        <v>186.15</v>
      </c>
    </row>
    <row r="148" spans="1:17" x14ac:dyDescent="0.25">
      <c r="A148" s="48">
        <v>45804</v>
      </c>
      <c r="B148" s="49">
        <v>5.6</v>
      </c>
      <c r="C148" s="49">
        <v>9.3000000000000007</v>
      </c>
      <c r="D148" s="50">
        <v>390.59999999999997</v>
      </c>
      <c r="E148" s="49"/>
      <c r="F148" s="49"/>
      <c r="G148" s="50"/>
      <c r="I148" s="48">
        <v>45804</v>
      </c>
      <c r="J148" s="49">
        <v>4.3</v>
      </c>
      <c r="K148" s="49">
        <v>8.1</v>
      </c>
      <c r="L148" s="50">
        <v>261.22499999999997</v>
      </c>
      <c r="M148" s="49">
        <v>3.6</v>
      </c>
      <c r="N148" s="49">
        <v>7.6</v>
      </c>
      <c r="O148" s="50">
        <v>205.20000000000002</v>
      </c>
    </row>
    <row r="149" spans="1:17" x14ac:dyDescent="0.25">
      <c r="A149" s="48">
        <v>45805</v>
      </c>
      <c r="B149" s="49">
        <v>5.5</v>
      </c>
      <c r="C149" s="49">
        <v>8.9</v>
      </c>
      <c r="D149" s="50">
        <v>367.125</v>
      </c>
      <c r="E149" s="49"/>
      <c r="F149" s="49"/>
      <c r="G149" s="50"/>
      <c r="I149" s="48">
        <v>45805</v>
      </c>
      <c r="J149" s="49">
        <v>3.6</v>
      </c>
      <c r="K149" s="49">
        <v>8</v>
      </c>
      <c r="L149" s="50">
        <v>216</v>
      </c>
      <c r="M149" s="49">
        <v>3.6</v>
      </c>
      <c r="N149" s="49">
        <v>7.4</v>
      </c>
      <c r="O149" s="50">
        <v>199.8</v>
      </c>
    </row>
    <row r="150" spans="1:17" x14ac:dyDescent="0.25">
      <c r="A150" s="48">
        <v>45806</v>
      </c>
      <c r="B150" s="49"/>
      <c r="C150" s="49"/>
      <c r="D150" s="50"/>
      <c r="E150" s="49"/>
      <c r="F150" s="49"/>
      <c r="G150" s="50"/>
      <c r="I150" s="48">
        <v>45806</v>
      </c>
      <c r="J150" s="49">
        <v>3.8</v>
      </c>
      <c r="K150" s="49">
        <v>7.8</v>
      </c>
      <c r="L150" s="50">
        <v>222.29999999999998</v>
      </c>
      <c r="M150" s="49">
        <v>4.2</v>
      </c>
      <c r="N150" s="49">
        <v>8</v>
      </c>
      <c r="O150" s="50">
        <v>252</v>
      </c>
    </row>
    <row r="151" spans="1:17" x14ac:dyDescent="0.25">
      <c r="A151" s="48">
        <v>45807</v>
      </c>
      <c r="B151" s="49">
        <v>7.2</v>
      </c>
      <c r="C151" s="49">
        <v>8</v>
      </c>
      <c r="D151" s="50">
        <v>432</v>
      </c>
      <c r="E151" s="49"/>
      <c r="F151" s="49"/>
      <c r="G151" s="50"/>
      <c r="I151" s="48">
        <v>45807</v>
      </c>
      <c r="J151" s="49">
        <v>4</v>
      </c>
      <c r="K151" s="49">
        <v>9.4</v>
      </c>
      <c r="L151" s="50">
        <v>282</v>
      </c>
      <c r="M151" s="49">
        <v>3.9</v>
      </c>
      <c r="N151" s="49">
        <v>7.4</v>
      </c>
      <c r="O151" s="50">
        <v>216.45</v>
      </c>
    </row>
    <row r="152" spans="1:17" x14ac:dyDescent="0.25">
      <c r="A152" s="48">
        <v>45808</v>
      </c>
      <c r="B152" s="49">
        <v>6.3</v>
      </c>
      <c r="C152" s="49">
        <v>8.1</v>
      </c>
      <c r="D152" s="50">
        <v>382.72499999999997</v>
      </c>
      <c r="E152" s="49"/>
      <c r="F152" s="49"/>
      <c r="G152" s="50"/>
      <c r="I152" s="48">
        <v>45808</v>
      </c>
      <c r="J152" s="49">
        <v>3.4</v>
      </c>
      <c r="K152" s="49">
        <v>8.8000000000000007</v>
      </c>
      <c r="L152" s="50">
        <v>224.4</v>
      </c>
      <c r="M152" s="49">
        <v>4.3</v>
      </c>
      <c r="N152" s="49">
        <v>7.5</v>
      </c>
      <c r="O152" s="50">
        <v>241.875</v>
      </c>
    </row>
    <row r="153" spans="1:17" ht="1.5" customHeight="1" x14ac:dyDescent="0.25">
      <c r="A153" s="44"/>
      <c r="B153" s="21"/>
      <c r="C153" s="21"/>
      <c r="D153" s="21"/>
      <c r="E153" s="21"/>
      <c r="F153" s="21"/>
      <c r="G153" s="21"/>
      <c r="I153" s="44"/>
      <c r="J153" s="21"/>
      <c r="K153" s="21"/>
      <c r="L153" s="21"/>
      <c r="M153" s="21"/>
      <c r="N153" s="21"/>
      <c r="O153" s="21"/>
    </row>
    <row r="154" spans="1:17" x14ac:dyDescent="0.25">
      <c r="A154" s="21"/>
      <c r="B154" s="194" t="s">
        <v>39</v>
      </c>
      <c r="C154" s="194"/>
      <c r="D154" s="194"/>
      <c r="E154" s="194"/>
      <c r="F154" s="194"/>
      <c r="G154" s="98">
        <v>82.5</v>
      </c>
      <c r="I154" s="21"/>
      <c r="J154" s="194" t="s">
        <v>39</v>
      </c>
      <c r="K154" s="194"/>
      <c r="L154" s="194"/>
      <c r="M154" s="194"/>
      <c r="N154" s="194"/>
      <c r="O154" s="98">
        <v>114.6</v>
      </c>
    </row>
    <row r="155" spans="1:17" x14ac:dyDescent="0.25">
      <c r="A155" s="21"/>
      <c r="B155" s="194" t="s">
        <v>40</v>
      </c>
      <c r="C155" s="194"/>
      <c r="D155" s="194"/>
      <c r="E155" s="194"/>
      <c r="F155" s="194"/>
      <c r="G155" s="109">
        <v>5146.05</v>
      </c>
      <c r="I155" s="21"/>
      <c r="J155" s="194" t="s">
        <v>40</v>
      </c>
      <c r="K155" s="194"/>
      <c r="L155" s="194"/>
      <c r="M155" s="194"/>
      <c r="N155" s="194"/>
      <c r="O155" s="109">
        <v>6671.4</v>
      </c>
    </row>
    <row r="156" spans="1:17" x14ac:dyDescent="0.25">
      <c r="A156" s="21"/>
      <c r="B156" s="194" t="s">
        <v>46</v>
      </c>
      <c r="C156" s="194"/>
      <c r="D156" s="194"/>
      <c r="E156" s="194"/>
      <c r="F156" s="194"/>
      <c r="G156" s="104">
        <v>0</v>
      </c>
      <c r="I156" s="21"/>
      <c r="J156" s="194" t="s">
        <v>46</v>
      </c>
      <c r="K156" s="194"/>
      <c r="L156" s="194"/>
      <c r="M156" s="194"/>
      <c r="N156" s="194"/>
      <c r="O156" s="104">
        <v>0</v>
      </c>
    </row>
    <row r="157" spans="1:17" ht="15.75" x14ac:dyDescent="0.25">
      <c r="A157" s="21"/>
      <c r="B157" s="195" t="s">
        <v>41</v>
      </c>
      <c r="C157" s="195"/>
      <c r="D157" s="195"/>
      <c r="E157" s="195"/>
      <c r="F157" s="195"/>
      <c r="G157" s="108">
        <v>5146.05</v>
      </c>
      <c r="I157" s="21"/>
      <c r="J157" s="195" t="s">
        <v>41</v>
      </c>
      <c r="K157" s="195"/>
      <c r="L157" s="195"/>
      <c r="M157" s="195"/>
      <c r="N157" s="195"/>
      <c r="O157" s="108">
        <v>6671.4</v>
      </c>
    </row>
    <row r="158" spans="1:17" ht="6" customHeight="1" x14ac:dyDescent="0.25">
      <c r="Q158" s="45"/>
    </row>
    <row r="159" spans="1:17" ht="6" customHeight="1" x14ac:dyDescent="0.25"/>
    <row r="160" spans="1:17" x14ac:dyDescent="0.25">
      <c r="A160" s="200" t="s">
        <v>34</v>
      </c>
      <c r="B160" s="200"/>
      <c r="C160" s="51">
        <v>14</v>
      </c>
      <c r="D160" s="46" t="s">
        <v>36</v>
      </c>
      <c r="E160" s="198">
        <v>45793</v>
      </c>
      <c r="F160" s="198"/>
      <c r="G160" s="198"/>
      <c r="I160" s="200" t="s">
        <v>34</v>
      </c>
      <c r="J160" s="200"/>
      <c r="K160" s="51">
        <v>15</v>
      </c>
      <c r="L160" s="46" t="s">
        <v>36</v>
      </c>
      <c r="M160" s="198">
        <v>45793</v>
      </c>
      <c r="N160" s="198"/>
      <c r="O160" s="198"/>
    </row>
    <row r="161" spans="1:15" x14ac:dyDescent="0.25">
      <c r="A161" s="200" t="s">
        <v>35</v>
      </c>
      <c r="B161" s="200"/>
      <c r="C161" s="199" t="s">
        <v>13</v>
      </c>
      <c r="D161" s="199"/>
      <c r="E161" s="199"/>
      <c r="F161" s="199"/>
      <c r="G161" s="199"/>
      <c r="I161" s="200" t="s">
        <v>35</v>
      </c>
      <c r="J161" s="200"/>
      <c r="K161" s="199" t="s">
        <v>67</v>
      </c>
      <c r="L161" s="199"/>
      <c r="M161" s="199"/>
      <c r="N161" s="199"/>
      <c r="O161" s="199"/>
    </row>
    <row r="162" spans="1:15" x14ac:dyDescent="0.25">
      <c r="A162" s="197" t="s">
        <v>28</v>
      </c>
      <c r="B162" s="196" t="s">
        <v>29</v>
      </c>
      <c r="C162" s="196"/>
      <c r="D162" s="196"/>
      <c r="E162" s="196" t="s">
        <v>30</v>
      </c>
      <c r="F162" s="196"/>
      <c r="G162" s="196"/>
      <c r="I162" s="197" t="s">
        <v>28</v>
      </c>
      <c r="J162" s="196" t="s">
        <v>29</v>
      </c>
      <c r="K162" s="196"/>
      <c r="L162" s="196"/>
      <c r="M162" s="196" t="s">
        <v>30</v>
      </c>
      <c r="N162" s="196"/>
      <c r="O162" s="196"/>
    </row>
    <row r="163" spans="1:15" ht="25.5" customHeight="1" x14ac:dyDescent="0.25">
      <c r="A163" s="197"/>
      <c r="B163" s="47" t="s">
        <v>33</v>
      </c>
      <c r="C163" s="47" t="s">
        <v>32</v>
      </c>
      <c r="D163" s="47" t="s">
        <v>31</v>
      </c>
      <c r="E163" s="47" t="s">
        <v>33</v>
      </c>
      <c r="F163" s="47" t="s">
        <v>32</v>
      </c>
      <c r="G163" s="47" t="s">
        <v>31</v>
      </c>
      <c r="I163" s="197"/>
      <c r="J163" s="47" t="s">
        <v>33</v>
      </c>
      <c r="K163" s="47" t="s">
        <v>32</v>
      </c>
      <c r="L163" s="47" t="s">
        <v>31</v>
      </c>
      <c r="M163" s="47" t="s">
        <v>33</v>
      </c>
      <c r="N163" s="47" t="s">
        <v>32</v>
      </c>
      <c r="O163" s="47" t="s">
        <v>31</v>
      </c>
    </row>
    <row r="164" spans="1:15" x14ac:dyDescent="0.25">
      <c r="A164" s="48">
        <v>45793</v>
      </c>
      <c r="B164" s="49">
        <v>1.5</v>
      </c>
      <c r="C164" s="49">
        <v>6.5</v>
      </c>
      <c r="D164" s="50">
        <v>73.125</v>
      </c>
      <c r="E164" s="49">
        <v>1.3</v>
      </c>
      <c r="F164" s="49">
        <v>6</v>
      </c>
      <c r="G164" s="50">
        <v>58.5</v>
      </c>
      <c r="I164" s="48">
        <v>45793</v>
      </c>
      <c r="J164" s="49">
        <v>8.8000000000000007</v>
      </c>
      <c r="K164" s="49">
        <v>6.7</v>
      </c>
      <c r="L164" s="50">
        <v>442.20000000000005</v>
      </c>
      <c r="M164" s="49">
        <v>4.5</v>
      </c>
      <c r="N164" s="49">
        <v>6</v>
      </c>
      <c r="O164" s="50">
        <v>202.5</v>
      </c>
    </row>
    <row r="165" spans="1:15" x14ac:dyDescent="0.25">
      <c r="A165" s="48">
        <v>45794</v>
      </c>
      <c r="B165" s="49">
        <v>1.4</v>
      </c>
      <c r="C165" s="49">
        <v>7</v>
      </c>
      <c r="D165" s="50">
        <v>73.5</v>
      </c>
      <c r="E165" s="49">
        <v>1.3</v>
      </c>
      <c r="F165" s="49">
        <v>6.2</v>
      </c>
      <c r="G165" s="50">
        <v>60.45</v>
      </c>
      <c r="I165" s="48">
        <v>45794</v>
      </c>
      <c r="J165" s="49">
        <v>8</v>
      </c>
      <c r="K165" s="49">
        <v>7.2</v>
      </c>
      <c r="L165" s="50">
        <v>432</v>
      </c>
      <c r="M165" s="49">
        <v>3.7</v>
      </c>
      <c r="N165" s="49">
        <v>6</v>
      </c>
      <c r="O165" s="50">
        <v>166.5</v>
      </c>
    </row>
    <row r="166" spans="1:15" x14ac:dyDescent="0.25">
      <c r="A166" s="48">
        <v>45795</v>
      </c>
      <c r="B166" s="49">
        <v>1.4</v>
      </c>
      <c r="C166" s="49">
        <v>6.7</v>
      </c>
      <c r="D166" s="50">
        <v>70.349999999999994</v>
      </c>
      <c r="E166" s="49">
        <v>1.4</v>
      </c>
      <c r="F166" s="49">
        <v>6.2</v>
      </c>
      <c r="G166" s="50">
        <v>65.099999999999994</v>
      </c>
      <c r="I166" s="48">
        <v>45795</v>
      </c>
      <c r="J166" s="49">
        <v>9.6</v>
      </c>
      <c r="K166" s="49">
        <v>6.4</v>
      </c>
      <c r="L166" s="50">
        <v>460.79999999999995</v>
      </c>
      <c r="M166" s="49">
        <v>3.8</v>
      </c>
      <c r="N166" s="49">
        <v>6.3</v>
      </c>
      <c r="O166" s="50">
        <v>179.54999999999998</v>
      </c>
    </row>
    <row r="167" spans="1:15" x14ac:dyDescent="0.25">
      <c r="A167" s="48">
        <v>45796</v>
      </c>
      <c r="B167" s="49">
        <v>1.5</v>
      </c>
      <c r="C167" s="49">
        <v>6.7</v>
      </c>
      <c r="D167" s="50">
        <v>75.375</v>
      </c>
      <c r="E167" s="49">
        <v>1.3</v>
      </c>
      <c r="F167" s="49">
        <v>6.5</v>
      </c>
      <c r="G167" s="50">
        <v>63.375</v>
      </c>
      <c r="I167" s="48">
        <v>45796</v>
      </c>
      <c r="J167" s="49">
        <v>9.8000000000000007</v>
      </c>
      <c r="K167" s="49">
        <v>6.9</v>
      </c>
      <c r="L167" s="50">
        <v>507.15000000000003</v>
      </c>
      <c r="M167" s="49">
        <v>2.4</v>
      </c>
      <c r="N167" s="49">
        <v>6</v>
      </c>
      <c r="O167" s="50">
        <v>108</v>
      </c>
    </row>
    <row r="168" spans="1:15" x14ac:dyDescent="0.25">
      <c r="A168" s="48">
        <v>45797</v>
      </c>
      <c r="B168" s="49">
        <v>1.5</v>
      </c>
      <c r="C168" s="49">
        <v>7.2</v>
      </c>
      <c r="D168" s="50">
        <v>81</v>
      </c>
      <c r="E168" s="49">
        <v>1.5</v>
      </c>
      <c r="F168" s="49">
        <v>6.5</v>
      </c>
      <c r="G168" s="50">
        <v>73.125</v>
      </c>
      <c r="I168" s="48">
        <v>45797</v>
      </c>
      <c r="J168" s="49">
        <v>9.1</v>
      </c>
      <c r="K168" s="49">
        <v>7.3</v>
      </c>
      <c r="L168" s="50">
        <v>498.22499999999997</v>
      </c>
      <c r="M168" s="49">
        <v>4.0999999999999996</v>
      </c>
      <c r="N168" s="49">
        <v>6</v>
      </c>
      <c r="O168" s="50">
        <v>184.49999999999997</v>
      </c>
    </row>
    <row r="169" spans="1:15" x14ac:dyDescent="0.25">
      <c r="A169" s="48">
        <v>45798</v>
      </c>
      <c r="B169" s="49">
        <v>1.2</v>
      </c>
      <c r="C169" s="49">
        <v>6.2</v>
      </c>
      <c r="D169" s="50">
        <v>55.8</v>
      </c>
      <c r="E169" s="49">
        <v>1.5</v>
      </c>
      <c r="F169" s="49">
        <v>6.5</v>
      </c>
      <c r="G169" s="50">
        <v>73.125</v>
      </c>
      <c r="I169" s="48">
        <v>45798</v>
      </c>
      <c r="J169" s="49">
        <v>9.9</v>
      </c>
      <c r="K169" s="49">
        <v>7</v>
      </c>
      <c r="L169" s="50">
        <v>519.75</v>
      </c>
      <c r="M169" s="49">
        <v>4.4000000000000004</v>
      </c>
      <c r="N169" s="49">
        <v>6</v>
      </c>
      <c r="O169" s="50">
        <v>198.00000000000003</v>
      </c>
    </row>
    <row r="170" spans="1:15" x14ac:dyDescent="0.25">
      <c r="A170" s="48">
        <v>45799</v>
      </c>
      <c r="B170" s="49">
        <v>1.4</v>
      </c>
      <c r="C170" s="49">
        <v>7.3</v>
      </c>
      <c r="D170" s="50">
        <v>76.649999999999991</v>
      </c>
      <c r="E170" s="49">
        <v>1.4</v>
      </c>
      <c r="F170" s="49">
        <v>6.5</v>
      </c>
      <c r="G170" s="50">
        <v>68.25</v>
      </c>
      <c r="I170" s="48">
        <v>45799</v>
      </c>
      <c r="J170" s="49">
        <v>9.6</v>
      </c>
      <c r="K170" s="49">
        <v>6.9</v>
      </c>
      <c r="L170" s="50">
        <v>496.79999999999995</v>
      </c>
      <c r="M170" s="49">
        <v>3</v>
      </c>
      <c r="N170" s="49">
        <v>5.5</v>
      </c>
      <c r="O170" s="50">
        <v>123.75</v>
      </c>
    </row>
    <row r="171" spans="1:15" x14ac:dyDescent="0.25">
      <c r="A171" s="48">
        <v>45800</v>
      </c>
      <c r="B171" s="49">
        <v>1.4</v>
      </c>
      <c r="C171" s="49">
        <v>7.2</v>
      </c>
      <c r="D171" s="50">
        <v>75.599999999999994</v>
      </c>
      <c r="E171" s="49">
        <v>1.4</v>
      </c>
      <c r="F171" s="49">
        <v>6.3</v>
      </c>
      <c r="G171" s="50">
        <v>66.149999999999991</v>
      </c>
      <c r="I171" s="48">
        <v>45800</v>
      </c>
      <c r="J171" s="49">
        <v>9.8000000000000007</v>
      </c>
      <c r="K171" s="49">
        <v>7.2</v>
      </c>
      <c r="L171" s="50">
        <v>529.20000000000005</v>
      </c>
      <c r="M171" s="49">
        <v>4.2</v>
      </c>
      <c r="N171" s="49">
        <v>5.8</v>
      </c>
      <c r="O171" s="50">
        <v>182.70000000000002</v>
      </c>
    </row>
    <row r="172" spans="1:15" x14ac:dyDescent="0.25">
      <c r="A172" s="48">
        <v>45801</v>
      </c>
      <c r="B172" s="49">
        <v>1.3</v>
      </c>
      <c r="C172" s="49">
        <v>7</v>
      </c>
      <c r="D172" s="50">
        <v>68.25</v>
      </c>
      <c r="E172" s="49">
        <v>1.4</v>
      </c>
      <c r="F172" s="49">
        <v>6.5</v>
      </c>
      <c r="G172" s="50">
        <v>68.25</v>
      </c>
      <c r="I172" s="48">
        <v>45801</v>
      </c>
      <c r="J172" s="49">
        <v>9.1999999999999993</v>
      </c>
      <c r="K172" s="49">
        <v>6.6</v>
      </c>
      <c r="L172" s="50">
        <v>455.4</v>
      </c>
      <c r="M172" s="49">
        <v>2.4</v>
      </c>
      <c r="N172" s="49">
        <v>6.3</v>
      </c>
      <c r="O172" s="50">
        <v>113.39999999999999</v>
      </c>
    </row>
    <row r="173" spans="1:15" x14ac:dyDescent="0.25">
      <c r="A173" s="48">
        <v>45802</v>
      </c>
      <c r="B173" s="49">
        <v>1.4</v>
      </c>
      <c r="C173" s="49">
        <v>8.3000000000000007</v>
      </c>
      <c r="D173" s="50">
        <v>87.149999999999991</v>
      </c>
      <c r="E173" s="49">
        <v>1.3</v>
      </c>
      <c r="F173" s="49">
        <v>6.6</v>
      </c>
      <c r="G173" s="50">
        <v>64.350000000000009</v>
      </c>
      <c r="I173" s="48">
        <v>45802</v>
      </c>
      <c r="J173" s="49">
        <v>9.9</v>
      </c>
      <c r="K173" s="49">
        <v>7.9</v>
      </c>
      <c r="L173" s="50">
        <v>586.57500000000005</v>
      </c>
      <c r="M173" s="49">
        <v>4.4000000000000004</v>
      </c>
      <c r="N173" s="49">
        <v>6</v>
      </c>
      <c r="O173" s="50">
        <v>198.00000000000003</v>
      </c>
    </row>
    <row r="174" spans="1:15" x14ac:dyDescent="0.25">
      <c r="A174" s="48">
        <v>45803</v>
      </c>
      <c r="B174" s="49">
        <v>1.4</v>
      </c>
      <c r="C174" s="49">
        <v>7.8</v>
      </c>
      <c r="D174" s="50">
        <v>81.899999999999991</v>
      </c>
      <c r="E174" s="49">
        <v>1.3</v>
      </c>
      <c r="F174" s="49">
        <v>6.4</v>
      </c>
      <c r="G174" s="50">
        <v>62.400000000000006</v>
      </c>
      <c r="I174" s="48">
        <v>45803</v>
      </c>
      <c r="J174" s="49">
        <v>8.9</v>
      </c>
      <c r="K174" s="49">
        <v>6.7</v>
      </c>
      <c r="L174" s="50">
        <v>447.22500000000002</v>
      </c>
      <c r="M174" s="49">
        <v>4</v>
      </c>
      <c r="N174" s="49">
        <v>6.2</v>
      </c>
      <c r="O174" s="50">
        <v>186</v>
      </c>
    </row>
    <row r="175" spans="1:15" x14ac:dyDescent="0.25">
      <c r="A175" s="48">
        <v>45804</v>
      </c>
      <c r="B175" s="49">
        <v>1.2</v>
      </c>
      <c r="C175" s="49">
        <v>7.7</v>
      </c>
      <c r="D175" s="50">
        <v>69.3</v>
      </c>
      <c r="E175" s="49">
        <v>1.4</v>
      </c>
      <c r="F175" s="49">
        <v>7</v>
      </c>
      <c r="G175" s="50">
        <v>73.5</v>
      </c>
      <c r="I175" s="48">
        <v>45804</v>
      </c>
      <c r="J175" s="49">
        <v>10.199999999999999</v>
      </c>
      <c r="K175" s="49">
        <v>7.2</v>
      </c>
      <c r="L175" s="50">
        <v>550.79999999999995</v>
      </c>
      <c r="M175" s="49">
        <v>3.6</v>
      </c>
      <c r="N175" s="49">
        <v>6</v>
      </c>
      <c r="O175" s="50">
        <v>162</v>
      </c>
    </row>
    <row r="176" spans="1:15" x14ac:dyDescent="0.25">
      <c r="A176" s="48">
        <v>45805</v>
      </c>
      <c r="B176" s="49">
        <v>1.3</v>
      </c>
      <c r="C176" s="49">
        <v>7.6</v>
      </c>
      <c r="D176" s="50">
        <v>74.100000000000009</v>
      </c>
      <c r="E176" s="49">
        <v>1.4</v>
      </c>
      <c r="F176" s="49">
        <v>6.5</v>
      </c>
      <c r="G176" s="50">
        <v>68.25</v>
      </c>
      <c r="I176" s="48">
        <v>45805</v>
      </c>
      <c r="J176" s="49">
        <v>10.4</v>
      </c>
      <c r="K176" s="49">
        <v>7.9</v>
      </c>
      <c r="L176" s="50">
        <v>616.20000000000005</v>
      </c>
      <c r="M176" s="49">
        <v>3.8</v>
      </c>
      <c r="N176" s="49">
        <v>5.5</v>
      </c>
      <c r="O176" s="50">
        <v>156.75</v>
      </c>
    </row>
    <row r="177" spans="1:15" x14ac:dyDescent="0.25">
      <c r="A177" s="48">
        <v>45806</v>
      </c>
      <c r="B177" s="49">
        <v>1.4</v>
      </c>
      <c r="C177" s="49">
        <v>7.9</v>
      </c>
      <c r="D177" s="50">
        <v>82.949999999999989</v>
      </c>
      <c r="E177" s="49">
        <v>1.4</v>
      </c>
      <c r="F177" s="49">
        <v>7</v>
      </c>
      <c r="G177" s="50">
        <v>73.5</v>
      </c>
      <c r="I177" s="48">
        <v>45806</v>
      </c>
      <c r="J177" s="49">
        <v>10.199999999999999</v>
      </c>
      <c r="K177" s="49">
        <v>7.5</v>
      </c>
      <c r="L177" s="50">
        <v>573.75</v>
      </c>
      <c r="M177" s="49">
        <v>4.0999999999999996</v>
      </c>
      <c r="N177" s="49">
        <v>6</v>
      </c>
      <c r="O177" s="50">
        <v>184.49999999999997</v>
      </c>
    </row>
    <row r="178" spans="1:15" x14ac:dyDescent="0.25">
      <c r="A178" s="48">
        <v>45807</v>
      </c>
      <c r="B178" s="49">
        <v>1.1000000000000001</v>
      </c>
      <c r="C178" s="49">
        <v>8.4</v>
      </c>
      <c r="D178" s="50">
        <v>69.300000000000011</v>
      </c>
      <c r="E178" s="49">
        <v>1.2</v>
      </c>
      <c r="F178" s="49">
        <v>6.4</v>
      </c>
      <c r="G178" s="50">
        <v>57.599999999999994</v>
      </c>
      <c r="I178" s="48">
        <v>45807</v>
      </c>
      <c r="J178" s="49">
        <v>10.9</v>
      </c>
      <c r="K178" s="49">
        <v>7.2</v>
      </c>
      <c r="L178" s="50">
        <v>588.6</v>
      </c>
      <c r="M178" s="49">
        <v>3.8</v>
      </c>
      <c r="N178" s="49">
        <v>5.5</v>
      </c>
      <c r="O178" s="50">
        <v>156.75</v>
      </c>
    </row>
    <row r="179" spans="1:15" x14ac:dyDescent="0.25">
      <c r="A179" s="48">
        <v>45808</v>
      </c>
      <c r="B179" s="49">
        <v>1.6</v>
      </c>
      <c r="C179" s="49">
        <v>8</v>
      </c>
      <c r="D179" s="50">
        <v>96</v>
      </c>
      <c r="E179" s="49">
        <v>1.3</v>
      </c>
      <c r="F179" s="49">
        <v>6.5</v>
      </c>
      <c r="G179" s="50">
        <v>63.375</v>
      </c>
      <c r="I179" s="48">
        <v>45808</v>
      </c>
      <c r="J179" s="49">
        <v>10</v>
      </c>
      <c r="K179" s="49">
        <v>7.2</v>
      </c>
      <c r="L179" s="50">
        <v>540</v>
      </c>
      <c r="M179" s="49">
        <v>4.8</v>
      </c>
      <c r="N179" s="49">
        <v>6.4</v>
      </c>
      <c r="O179" s="50">
        <v>230.39999999999998</v>
      </c>
    </row>
    <row r="180" spans="1:15" ht="1.5" customHeight="1" x14ac:dyDescent="0.25">
      <c r="A180" s="44"/>
      <c r="B180" s="21"/>
      <c r="C180" s="21"/>
      <c r="D180" s="21"/>
      <c r="E180" s="21"/>
      <c r="F180" s="21"/>
      <c r="G180" s="21"/>
      <c r="I180" s="44"/>
      <c r="J180" s="21"/>
      <c r="K180" s="21"/>
      <c r="L180" s="21"/>
      <c r="M180" s="21"/>
      <c r="N180" s="21"/>
      <c r="O180" s="21"/>
    </row>
    <row r="181" spans="1:15" x14ac:dyDescent="0.25">
      <c r="A181" s="21"/>
      <c r="B181" s="194" t="s">
        <v>39</v>
      </c>
      <c r="C181" s="194"/>
      <c r="D181" s="194"/>
      <c r="E181" s="194"/>
      <c r="F181" s="194"/>
      <c r="G181" s="98">
        <v>43.800000000000004</v>
      </c>
      <c r="I181" s="21"/>
      <c r="J181" s="194" t="s">
        <v>39</v>
      </c>
      <c r="K181" s="194"/>
      <c r="L181" s="194"/>
      <c r="M181" s="194"/>
      <c r="N181" s="194"/>
      <c r="O181" s="98">
        <v>215.3</v>
      </c>
    </row>
    <row r="182" spans="1:15" x14ac:dyDescent="0.25">
      <c r="A182" s="21"/>
      <c r="B182" s="194" t="s">
        <v>40</v>
      </c>
      <c r="C182" s="194"/>
      <c r="D182" s="194"/>
      <c r="E182" s="194"/>
      <c r="F182" s="194"/>
      <c r="G182" s="109">
        <v>2269.65</v>
      </c>
      <c r="I182" s="21"/>
      <c r="J182" s="194" t="s">
        <v>40</v>
      </c>
      <c r="K182" s="194"/>
      <c r="L182" s="194"/>
      <c r="M182" s="194"/>
      <c r="N182" s="194"/>
      <c r="O182" s="109">
        <v>10977.974999999999</v>
      </c>
    </row>
    <row r="183" spans="1:15" x14ac:dyDescent="0.25">
      <c r="A183" s="21"/>
      <c r="B183" s="194" t="s">
        <v>46</v>
      </c>
      <c r="C183" s="194"/>
      <c r="D183" s="194"/>
      <c r="E183" s="194"/>
      <c r="F183" s="194"/>
      <c r="G183" s="104">
        <v>0</v>
      </c>
      <c r="I183" s="21"/>
      <c r="J183" s="194" t="s">
        <v>46</v>
      </c>
      <c r="K183" s="194"/>
      <c r="L183" s="194"/>
      <c r="M183" s="194"/>
      <c r="N183" s="194"/>
      <c r="O183" s="104">
        <v>500</v>
      </c>
    </row>
    <row r="184" spans="1:15" ht="15.75" x14ac:dyDescent="0.25">
      <c r="A184" s="21"/>
      <c r="B184" s="195" t="s">
        <v>41</v>
      </c>
      <c r="C184" s="195"/>
      <c r="D184" s="195"/>
      <c r="E184" s="195"/>
      <c r="F184" s="195"/>
      <c r="G184" s="108">
        <v>2269.65</v>
      </c>
      <c r="I184" s="21"/>
      <c r="J184" s="195" t="s">
        <v>41</v>
      </c>
      <c r="K184" s="195"/>
      <c r="L184" s="195"/>
      <c r="M184" s="195"/>
      <c r="N184" s="195"/>
      <c r="O184" s="108">
        <v>10477.974999999999</v>
      </c>
    </row>
    <row r="185" spans="1:15" ht="6" customHeight="1" x14ac:dyDescent="0.25"/>
    <row r="189" spans="1:15" ht="24" customHeight="1" x14ac:dyDescent="0.25"/>
    <row r="206" ht="2.25" customHeight="1" x14ac:dyDescent="0.25"/>
    <row r="211" spans="17:17" ht="6.75" customHeight="1" x14ac:dyDescent="0.25">
      <c r="Q211" s="45"/>
    </row>
    <row r="212" spans="17:17" ht="6.75" customHeight="1" x14ac:dyDescent="0.25"/>
    <row r="216" spans="17:17" ht="27.75" customHeight="1" x14ac:dyDescent="0.25"/>
    <row r="238" ht="5.25" customHeight="1" x14ac:dyDescent="0.25"/>
    <row r="242" ht="26.25" customHeight="1" x14ac:dyDescent="0.25"/>
    <row r="264" spans="17:17" ht="5.25" customHeight="1" x14ac:dyDescent="0.25">
      <c r="Q264" s="45"/>
    </row>
    <row r="265" spans="17:17" ht="5.25" customHeight="1" x14ac:dyDescent="0.25"/>
  </sheetData>
  <mergeCells count="154">
    <mergeCell ref="J51:N51"/>
    <mergeCell ref="A28:B28"/>
    <mergeCell ref="C28:G28"/>
    <mergeCell ref="A29:A30"/>
    <mergeCell ref="B29:D29"/>
    <mergeCell ref="E29:G29"/>
    <mergeCell ref="K28:O28"/>
    <mergeCell ref="I29:I30"/>
    <mergeCell ref="J29:L29"/>
    <mergeCell ref="M29:O29"/>
    <mergeCell ref="J48:N48"/>
    <mergeCell ref="B48:F48"/>
    <mergeCell ref="B49:F49"/>
    <mergeCell ref="B50:F50"/>
    <mergeCell ref="B51:F51"/>
    <mergeCell ref="I28:J28"/>
    <mergeCell ref="J49:N49"/>
    <mergeCell ref="J50:N50"/>
    <mergeCell ref="I1:J1"/>
    <mergeCell ref="M1:O1"/>
    <mergeCell ref="I2:J2"/>
    <mergeCell ref="K2:O2"/>
    <mergeCell ref="I3:I4"/>
    <mergeCell ref="J3:L3"/>
    <mergeCell ref="M3:O3"/>
    <mergeCell ref="A1:B1"/>
    <mergeCell ref="E1:G1"/>
    <mergeCell ref="A2:B2"/>
    <mergeCell ref="C2:G2"/>
    <mergeCell ref="A3:A4"/>
    <mergeCell ref="B3:D3"/>
    <mergeCell ref="I27:J27"/>
    <mergeCell ref="E3:G3"/>
    <mergeCell ref="J22:N22"/>
    <mergeCell ref="A27:B27"/>
    <mergeCell ref="E27:G27"/>
    <mergeCell ref="M27:O27"/>
    <mergeCell ref="B22:F22"/>
    <mergeCell ref="B23:F23"/>
    <mergeCell ref="B24:F24"/>
    <mergeCell ref="B25:F25"/>
    <mergeCell ref="J23:N23"/>
    <mergeCell ref="J24:N24"/>
    <mergeCell ref="J25:N25"/>
    <mergeCell ref="B78:F78"/>
    <mergeCell ref="I54:J54"/>
    <mergeCell ref="J75:N75"/>
    <mergeCell ref="J76:N76"/>
    <mergeCell ref="J77:N77"/>
    <mergeCell ref="J78:N78"/>
    <mergeCell ref="A54:B54"/>
    <mergeCell ref="E54:G54"/>
    <mergeCell ref="A55:B55"/>
    <mergeCell ref="C55:G55"/>
    <mergeCell ref="A56:A57"/>
    <mergeCell ref="B56:D56"/>
    <mergeCell ref="E56:G56"/>
    <mergeCell ref="M54:O54"/>
    <mergeCell ref="I55:J55"/>
    <mergeCell ref="K55:O55"/>
    <mergeCell ref="I56:I57"/>
    <mergeCell ref="J56:L56"/>
    <mergeCell ref="M56:O56"/>
    <mergeCell ref="B75:F75"/>
    <mergeCell ref="B76:F76"/>
    <mergeCell ref="B77:F77"/>
    <mergeCell ref="B104:F104"/>
    <mergeCell ref="I80:J80"/>
    <mergeCell ref="J101:N101"/>
    <mergeCell ref="J102:N102"/>
    <mergeCell ref="J103:N103"/>
    <mergeCell ref="J104:N104"/>
    <mergeCell ref="A80:B80"/>
    <mergeCell ref="E80:G80"/>
    <mergeCell ref="A81:B81"/>
    <mergeCell ref="C81:G81"/>
    <mergeCell ref="A82:A83"/>
    <mergeCell ref="B82:D82"/>
    <mergeCell ref="E82:G82"/>
    <mergeCell ref="M80:O80"/>
    <mergeCell ref="I81:J81"/>
    <mergeCell ref="K81:O81"/>
    <mergeCell ref="I82:I83"/>
    <mergeCell ref="J82:L82"/>
    <mergeCell ref="M82:O82"/>
    <mergeCell ref="B101:F101"/>
    <mergeCell ref="B102:F102"/>
    <mergeCell ref="B103:F103"/>
    <mergeCell ref="B131:F131"/>
    <mergeCell ref="I107:J107"/>
    <mergeCell ref="J128:N128"/>
    <mergeCell ref="J129:N129"/>
    <mergeCell ref="J130:N130"/>
    <mergeCell ref="J131:N131"/>
    <mergeCell ref="A107:B107"/>
    <mergeCell ref="E107:G107"/>
    <mergeCell ref="A108:B108"/>
    <mergeCell ref="C108:G108"/>
    <mergeCell ref="A109:A110"/>
    <mergeCell ref="B109:D109"/>
    <mergeCell ref="E109:G109"/>
    <mergeCell ref="M107:O107"/>
    <mergeCell ref="I108:J108"/>
    <mergeCell ref="K108:O108"/>
    <mergeCell ref="I109:I110"/>
    <mergeCell ref="J109:L109"/>
    <mergeCell ref="M109:O109"/>
    <mergeCell ref="B128:F128"/>
    <mergeCell ref="B129:F129"/>
    <mergeCell ref="B130:F130"/>
    <mergeCell ref="B157:F157"/>
    <mergeCell ref="I133:J133"/>
    <mergeCell ref="J154:N154"/>
    <mergeCell ref="J155:N155"/>
    <mergeCell ref="J156:N156"/>
    <mergeCell ref="J157:N157"/>
    <mergeCell ref="A133:B133"/>
    <mergeCell ref="E133:G133"/>
    <mergeCell ref="A134:B134"/>
    <mergeCell ref="C134:G134"/>
    <mergeCell ref="A135:A136"/>
    <mergeCell ref="B135:D135"/>
    <mergeCell ref="E135:G135"/>
    <mergeCell ref="M133:O133"/>
    <mergeCell ref="I134:J134"/>
    <mergeCell ref="K134:O134"/>
    <mergeCell ref="I135:I136"/>
    <mergeCell ref="J135:L135"/>
    <mergeCell ref="M135:O135"/>
    <mergeCell ref="B154:F154"/>
    <mergeCell ref="B155:F155"/>
    <mergeCell ref="B156:F156"/>
    <mergeCell ref="B184:F184"/>
    <mergeCell ref="I160:J160"/>
    <mergeCell ref="J181:N181"/>
    <mergeCell ref="J182:N182"/>
    <mergeCell ref="J183:N183"/>
    <mergeCell ref="J184:N184"/>
    <mergeCell ref="A160:B160"/>
    <mergeCell ref="E160:G160"/>
    <mergeCell ref="A161:B161"/>
    <mergeCell ref="C161:G161"/>
    <mergeCell ref="A162:A163"/>
    <mergeCell ref="B162:D162"/>
    <mergeCell ref="E162:G162"/>
    <mergeCell ref="M160:O160"/>
    <mergeCell ref="I161:J161"/>
    <mergeCell ref="K161:O161"/>
    <mergeCell ref="I162:I163"/>
    <mergeCell ref="J162:L162"/>
    <mergeCell ref="M162:O162"/>
    <mergeCell ref="B181:F181"/>
    <mergeCell ref="B182:F182"/>
    <mergeCell ref="B183:F183"/>
  </mergeCells>
  <pageMargins left="0.7" right="0.7" top="0.75" bottom="0.75" header="0.3" footer="0.3"/>
  <pageSetup paperSize="9" scale="83"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EA87-1481-45CB-BAF7-28E2DB4F3C85}">
  <sheetPr codeName="Sheet1"/>
  <dimension ref="A1:R674"/>
  <sheetViews>
    <sheetView showGridLines="0" workbookViewId="0">
      <pane ySplit="1" topLeftCell="A38" activePane="bottomLeft" state="frozen"/>
      <selection pane="bottomLeft" activeCell="R48" sqref="R48"/>
    </sheetView>
  </sheetViews>
  <sheetFormatPr defaultRowHeight="14.25" x14ac:dyDescent="0.2"/>
  <cols>
    <col min="1" max="1" width="11.28515625" style="38" bestFit="1" customWidth="1"/>
    <col min="2" max="2" width="10.7109375" style="33" customWidth="1"/>
    <col min="3" max="3" width="7.7109375" style="106" customWidth="1"/>
    <col min="4" max="4" width="11.7109375" style="32" customWidth="1"/>
    <col min="5" max="16384" width="9.140625" style="25"/>
  </cols>
  <sheetData>
    <row r="1" spans="1:18" ht="108.75" customHeight="1" x14ac:dyDescent="0.2">
      <c r="A1" s="152" t="s">
        <v>23</v>
      </c>
      <c r="B1" s="152" t="s">
        <v>26</v>
      </c>
      <c r="C1" s="152" t="s">
        <v>24</v>
      </c>
      <c r="D1" s="152" t="s">
        <v>25</v>
      </c>
      <c r="F1" s="201">
        <f>INDEX!G6</f>
        <v>45977</v>
      </c>
      <c r="G1" s="202"/>
      <c r="H1" s="202"/>
      <c r="J1" s="201">
        <f>INDEX!H6</f>
        <v>45991</v>
      </c>
      <c r="K1" s="202"/>
      <c r="L1" s="202"/>
      <c r="R1" s="170">
        <v>69.7</v>
      </c>
    </row>
    <row r="2" spans="1:18" x14ac:dyDescent="0.2">
      <c r="A2" s="37">
        <v>45962</v>
      </c>
      <c r="B2" s="35" t="s">
        <v>37</v>
      </c>
      <c r="C2" s="105">
        <v>1.9</v>
      </c>
      <c r="D2" s="39">
        <f t="shared" ref="D2:D8" si="0">IFERROR(IF(C2&lt;&gt;"",C2*70, ""), "")</f>
        <v>133</v>
      </c>
    </row>
    <row r="3" spans="1:18" x14ac:dyDescent="0.2">
      <c r="A3" s="37">
        <v>45962</v>
      </c>
      <c r="B3" s="35" t="s">
        <v>27</v>
      </c>
      <c r="C3" s="105">
        <v>0.1</v>
      </c>
      <c r="D3" s="39">
        <f t="shared" si="0"/>
        <v>7</v>
      </c>
    </row>
    <row r="4" spans="1:18" x14ac:dyDescent="0.2">
      <c r="A4" s="37">
        <v>45963</v>
      </c>
      <c r="B4" s="35" t="s">
        <v>37</v>
      </c>
      <c r="C4" s="105">
        <v>3.9</v>
      </c>
      <c r="D4" s="39">
        <f t="shared" si="0"/>
        <v>273</v>
      </c>
    </row>
    <row r="5" spans="1:18" x14ac:dyDescent="0.2">
      <c r="A5" s="37">
        <v>45963</v>
      </c>
      <c r="B5" s="35" t="s">
        <v>27</v>
      </c>
      <c r="C5" s="105">
        <v>0.1</v>
      </c>
      <c r="D5" s="39">
        <f t="shared" si="0"/>
        <v>7</v>
      </c>
    </row>
    <row r="6" spans="1:18" x14ac:dyDescent="0.2">
      <c r="A6" s="37">
        <v>45964</v>
      </c>
      <c r="B6" s="35" t="s">
        <v>37</v>
      </c>
      <c r="C6" s="105">
        <v>3.5</v>
      </c>
      <c r="D6" s="39">
        <f t="shared" si="0"/>
        <v>245</v>
      </c>
    </row>
    <row r="7" spans="1:18" x14ac:dyDescent="0.2">
      <c r="A7" s="37">
        <v>45964</v>
      </c>
      <c r="B7" s="35" t="s">
        <v>27</v>
      </c>
      <c r="C7" s="105">
        <v>1</v>
      </c>
      <c r="D7" s="39">
        <f t="shared" si="0"/>
        <v>70</v>
      </c>
    </row>
    <row r="8" spans="1:18" x14ac:dyDescent="0.2">
      <c r="A8" s="37">
        <v>45965</v>
      </c>
      <c r="B8" s="35" t="s">
        <v>37</v>
      </c>
      <c r="C8" s="105">
        <v>4.5</v>
      </c>
      <c r="D8" s="39">
        <f t="shared" si="0"/>
        <v>315</v>
      </c>
    </row>
    <row r="9" spans="1:18" x14ac:dyDescent="0.2">
      <c r="A9" s="37">
        <v>45965</v>
      </c>
      <c r="B9" s="35" t="s">
        <v>27</v>
      </c>
      <c r="C9" s="105">
        <v>1</v>
      </c>
      <c r="D9" s="39">
        <f t="shared" ref="D9:D27" si="1">IFERROR(IF(C9&lt;&gt;"",C9*70, ""), "")</f>
        <v>70</v>
      </c>
    </row>
    <row r="10" spans="1:18" x14ac:dyDescent="0.2">
      <c r="A10" s="37">
        <v>45966</v>
      </c>
      <c r="B10" s="35" t="s">
        <v>37</v>
      </c>
      <c r="C10" s="105">
        <v>5</v>
      </c>
      <c r="D10" s="39">
        <f t="shared" si="1"/>
        <v>350</v>
      </c>
    </row>
    <row r="11" spans="1:18" x14ac:dyDescent="0.2">
      <c r="A11" s="37">
        <v>45966</v>
      </c>
      <c r="B11" s="35" t="s">
        <v>27</v>
      </c>
      <c r="C11" s="105">
        <v>0.5</v>
      </c>
      <c r="D11" s="39">
        <f t="shared" si="1"/>
        <v>35</v>
      </c>
    </row>
    <row r="12" spans="1:18" x14ac:dyDescent="0.2">
      <c r="A12" s="37">
        <v>45967</v>
      </c>
      <c r="B12" s="35" t="s">
        <v>37</v>
      </c>
      <c r="C12" s="105">
        <v>4.4000000000000004</v>
      </c>
      <c r="D12" s="39">
        <f t="shared" si="1"/>
        <v>308</v>
      </c>
    </row>
    <row r="13" spans="1:18" x14ac:dyDescent="0.2">
      <c r="A13" s="37">
        <v>45967</v>
      </c>
      <c r="B13" s="35" t="s">
        <v>27</v>
      </c>
      <c r="C13" s="105">
        <v>0.1</v>
      </c>
      <c r="D13" s="39">
        <f t="shared" si="1"/>
        <v>7</v>
      </c>
    </row>
    <row r="14" spans="1:18" x14ac:dyDescent="0.2">
      <c r="A14" s="37">
        <v>45968</v>
      </c>
      <c r="B14" s="35" t="s">
        <v>37</v>
      </c>
      <c r="C14" s="105">
        <v>3.9</v>
      </c>
      <c r="D14" s="39">
        <f t="shared" si="1"/>
        <v>273</v>
      </c>
    </row>
    <row r="15" spans="1:18" x14ac:dyDescent="0.2">
      <c r="A15" s="37">
        <v>45968</v>
      </c>
      <c r="B15" s="35" t="s">
        <v>27</v>
      </c>
      <c r="C15" s="105">
        <v>0.1</v>
      </c>
      <c r="D15" s="39">
        <f t="shared" si="1"/>
        <v>7</v>
      </c>
    </row>
    <row r="16" spans="1:18" x14ac:dyDescent="0.2">
      <c r="A16" s="37">
        <v>45969</v>
      </c>
      <c r="B16" s="35" t="s">
        <v>37</v>
      </c>
      <c r="C16" s="105">
        <v>4</v>
      </c>
      <c r="D16" s="39">
        <f t="shared" si="1"/>
        <v>280</v>
      </c>
    </row>
    <row r="17" spans="1:4" x14ac:dyDescent="0.2">
      <c r="A17" s="37">
        <v>45969</v>
      </c>
      <c r="B17" s="35" t="s">
        <v>27</v>
      </c>
      <c r="C17" s="105">
        <v>1</v>
      </c>
      <c r="D17" s="39">
        <f t="shared" si="1"/>
        <v>70</v>
      </c>
    </row>
    <row r="18" spans="1:4" x14ac:dyDescent="0.2">
      <c r="A18" s="37">
        <v>45970</v>
      </c>
      <c r="B18" s="35" t="s">
        <v>37</v>
      </c>
      <c r="C18" s="105">
        <v>3.9</v>
      </c>
      <c r="D18" s="39">
        <f t="shared" si="1"/>
        <v>273</v>
      </c>
    </row>
    <row r="19" spans="1:4" x14ac:dyDescent="0.2">
      <c r="A19" s="37">
        <v>45970</v>
      </c>
      <c r="B19" s="35" t="s">
        <v>27</v>
      </c>
      <c r="C19" s="105">
        <v>0.1</v>
      </c>
      <c r="D19" s="39">
        <f t="shared" si="1"/>
        <v>7</v>
      </c>
    </row>
    <row r="20" spans="1:4" x14ac:dyDescent="0.2">
      <c r="A20" s="37">
        <v>45971</v>
      </c>
      <c r="B20" s="35" t="s">
        <v>37</v>
      </c>
      <c r="C20" s="105">
        <v>3.9</v>
      </c>
      <c r="D20" s="39">
        <f t="shared" si="1"/>
        <v>273</v>
      </c>
    </row>
    <row r="21" spans="1:4" x14ac:dyDescent="0.2">
      <c r="A21" s="37">
        <v>45971</v>
      </c>
      <c r="B21" s="35" t="s">
        <v>27</v>
      </c>
      <c r="C21" s="105">
        <v>0.1</v>
      </c>
      <c r="D21" s="39">
        <f t="shared" si="1"/>
        <v>7</v>
      </c>
    </row>
    <row r="22" spans="1:4" x14ac:dyDescent="0.2">
      <c r="A22" s="37">
        <v>45972</v>
      </c>
      <c r="B22" s="35" t="s">
        <v>37</v>
      </c>
      <c r="C22" s="105">
        <v>3</v>
      </c>
      <c r="D22" s="39">
        <f t="shared" si="1"/>
        <v>210</v>
      </c>
    </row>
    <row r="23" spans="1:4" x14ac:dyDescent="0.2">
      <c r="A23" s="37">
        <v>45972</v>
      </c>
      <c r="B23" s="35" t="s">
        <v>27</v>
      </c>
      <c r="C23" s="105">
        <v>0.5</v>
      </c>
      <c r="D23" s="39">
        <f t="shared" si="1"/>
        <v>35</v>
      </c>
    </row>
    <row r="24" spans="1:4" x14ac:dyDescent="0.2">
      <c r="A24" s="37">
        <v>45973</v>
      </c>
      <c r="B24" s="35" t="s">
        <v>37</v>
      </c>
      <c r="C24" s="105">
        <v>4.5</v>
      </c>
      <c r="D24" s="39">
        <f t="shared" si="1"/>
        <v>315</v>
      </c>
    </row>
    <row r="25" spans="1:4" x14ac:dyDescent="0.2">
      <c r="A25" s="37">
        <v>45973</v>
      </c>
      <c r="B25" s="35" t="s">
        <v>27</v>
      </c>
      <c r="C25" s="105">
        <v>1</v>
      </c>
      <c r="D25" s="39">
        <f t="shared" si="1"/>
        <v>70</v>
      </c>
    </row>
    <row r="26" spans="1:4" x14ac:dyDescent="0.2">
      <c r="A26" s="37">
        <v>45974</v>
      </c>
      <c r="B26" s="35" t="s">
        <v>37</v>
      </c>
      <c r="C26" s="105">
        <v>3</v>
      </c>
      <c r="D26" s="39">
        <f t="shared" si="1"/>
        <v>210</v>
      </c>
    </row>
    <row r="27" spans="1:4" x14ac:dyDescent="0.2">
      <c r="A27" s="37">
        <v>45974</v>
      </c>
      <c r="B27" s="35" t="s">
        <v>27</v>
      </c>
      <c r="C27" s="105">
        <v>0.5</v>
      </c>
      <c r="D27" s="39">
        <f t="shared" si="1"/>
        <v>35</v>
      </c>
    </row>
    <row r="28" spans="1:4" x14ac:dyDescent="0.2">
      <c r="A28" s="37">
        <v>45975</v>
      </c>
      <c r="B28" s="35" t="s">
        <v>37</v>
      </c>
      <c r="C28" s="105">
        <v>3.9</v>
      </c>
      <c r="D28" s="39">
        <f t="shared" ref="D28:D89" si="2">IFERROR(IF(C28&lt;&gt;"",C28*70, ""), "")</f>
        <v>273</v>
      </c>
    </row>
    <row r="29" spans="1:4" x14ac:dyDescent="0.2">
      <c r="A29" s="37">
        <v>45975</v>
      </c>
      <c r="B29" s="35" t="s">
        <v>27</v>
      </c>
      <c r="C29" s="105">
        <v>0.1</v>
      </c>
      <c r="D29" s="39">
        <f t="shared" si="2"/>
        <v>7</v>
      </c>
    </row>
    <row r="30" spans="1:4" x14ac:dyDescent="0.2">
      <c r="A30" s="37">
        <v>45976</v>
      </c>
      <c r="B30" s="35" t="s">
        <v>37</v>
      </c>
      <c r="C30" s="105">
        <v>4</v>
      </c>
      <c r="D30" s="39">
        <f t="shared" si="2"/>
        <v>280</v>
      </c>
    </row>
    <row r="31" spans="1:4" x14ac:dyDescent="0.2">
      <c r="A31" s="37">
        <v>45976</v>
      </c>
      <c r="B31" s="35" t="s">
        <v>27</v>
      </c>
      <c r="C31" s="105">
        <v>0.5</v>
      </c>
      <c r="D31" s="39">
        <f t="shared" si="2"/>
        <v>35</v>
      </c>
    </row>
    <row r="32" spans="1:4" x14ac:dyDescent="0.2">
      <c r="A32" s="37">
        <v>45977</v>
      </c>
      <c r="B32" s="35" t="s">
        <v>37</v>
      </c>
      <c r="C32" s="105">
        <v>4</v>
      </c>
      <c r="D32" s="39">
        <f t="shared" si="2"/>
        <v>280</v>
      </c>
    </row>
    <row r="33" spans="1:4" x14ac:dyDescent="0.2">
      <c r="A33" s="37">
        <v>45977</v>
      </c>
      <c r="B33" s="35" t="s">
        <v>27</v>
      </c>
      <c r="C33" s="105">
        <v>0.5</v>
      </c>
      <c r="D33" s="39">
        <f t="shared" si="2"/>
        <v>35</v>
      </c>
    </row>
    <row r="34" spans="1:4" x14ac:dyDescent="0.2">
      <c r="A34" s="37">
        <v>45978</v>
      </c>
      <c r="B34" s="35" t="s">
        <v>37</v>
      </c>
      <c r="C34" s="105">
        <v>4.4000000000000004</v>
      </c>
      <c r="D34" s="39">
        <f t="shared" si="2"/>
        <v>308</v>
      </c>
    </row>
    <row r="35" spans="1:4" x14ac:dyDescent="0.2">
      <c r="A35" s="37">
        <v>45978</v>
      </c>
      <c r="B35" s="35" t="s">
        <v>27</v>
      </c>
      <c r="C35" s="105">
        <v>0.1</v>
      </c>
      <c r="D35" s="39">
        <f t="shared" si="2"/>
        <v>7</v>
      </c>
    </row>
    <row r="36" spans="1:4" x14ac:dyDescent="0.2">
      <c r="A36" s="37">
        <v>45979</v>
      </c>
      <c r="B36" s="35" t="s">
        <v>37</v>
      </c>
      <c r="C36" s="105">
        <v>3.7</v>
      </c>
      <c r="D36" s="39">
        <f t="shared" si="2"/>
        <v>259</v>
      </c>
    </row>
    <row r="37" spans="1:4" x14ac:dyDescent="0.2">
      <c r="A37" s="37">
        <v>45979</v>
      </c>
      <c r="B37" s="35" t="s">
        <v>27</v>
      </c>
      <c r="C37" s="105">
        <v>1</v>
      </c>
      <c r="D37" s="39">
        <f t="shared" si="2"/>
        <v>70</v>
      </c>
    </row>
    <row r="38" spans="1:4" x14ac:dyDescent="0.2">
      <c r="A38" s="37">
        <v>45980</v>
      </c>
      <c r="B38" s="35" t="s">
        <v>37</v>
      </c>
      <c r="C38" s="105">
        <v>3.9</v>
      </c>
      <c r="D38" s="39">
        <f t="shared" si="2"/>
        <v>273</v>
      </c>
    </row>
    <row r="39" spans="1:4" x14ac:dyDescent="0.2">
      <c r="A39" s="37">
        <v>45980</v>
      </c>
      <c r="B39" s="35" t="s">
        <v>27</v>
      </c>
      <c r="C39" s="105">
        <v>0.1</v>
      </c>
      <c r="D39" s="39">
        <f t="shared" si="2"/>
        <v>7</v>
      </c>
    </row>
    <row r="40" spans="1:4" x14ac:dyDescent="0.2">
      <c r="A40" s="37">
        <v>45981</v>
      </c>
      <c r="B40" s="35" t="s">
        <v>37</v>
      </c>
      <c r="C40" s="105">
        <v>2.5</v>
      </c>
      <c r="D40" s="39">
        <f t="shared" si="2"/>
        <v>175</v>
      </c>
    </row>
    <row r="41" spans="1:4" x14ac:dyDescent="0.2">
      <c r="A41" s="37">
        <v>45981</v>
      </c>
      <c r="B41" s="35" t="s">
        <v>27</v>
      </c>
      <c r="C41" s="105">
        <v>0.5</v>
      </c>
      <c r="D41" s="39">
        <f t="shared" si="2"/>
        <v>35</v>
      </c>
    </row>
    <row r="42" spans="1:4" x14ac:dyDescent="0.2">
      <c r="A42" s="37">
        <v>45982</v>
      </c>
      <c r="B42" s="35" t="s">
        <v>37</v>
      </c>
      <c r="C42" s="105">
        <v>3</v>
      </c>
      <c r="D42" s="39">
        <f t="shared" si="2"/>
        <v>210</v>
      </c>
    </row>
    <row r="43" spans="1:4" x14ac:dyDescent="0.2">
      <c r="A43" s="37">
        <v>45982</v>
      </c>
      <c r="B43" s="35" t="s">
        <v>27</v>
      </c>
      <c r="C43" s="105">
        <v>0.5</v>
      </c>
      <c r="D43" s="39">
        <f t="shared" si="2"/>
        <v>35</v>
      </c>
    </row>
    <row r="44" spans="1:4" x14ac:dyDescent="0.2">
      <c r="A44" s="37">
        <v>45983</v>
      </c>
      <c r="B44" s="35" t="s">
        <v>37</v>
      </c>
      <c r="C44" s="105">
        <v>3.5</v>
      </c>
      <c r="D44" s="39">
        <f t="shared" si="2"/>
        <v>245</v>
      </c>
    </row>
    <row r="45" spans="1:4" x14ac:dyDescent="0.2">
      <c r="A45" s="37">
        <v>45983</v>
      </c>
      <c r="B45" s="35" t="s">
        <v>27</v>
      </c>
      <c r="C45" s="105">
        <v>1.5</v>
      </c>
      <c r="D45" s="39">
        <f t="shared" si="2"/>
        <v>105</v>
      </c>
    </row>
    <row r="46" spans="1:4" x14ac:dyDescent="0.2">
      <c r="A46" s="37">
        <v>45984</v>
      </c>
      <c r="B46" s="35" t="s">
        <v>37</v>
      </c>
      <c r="C46" s="105">
        <v>2.9</v>
      </c>
      <c r="D46" s="39">
        <f t="shared" si="2"/>
        <v>203</v>
      </c>
    </row>
    <row r="47" spans="1:4" x14ac:dyDescent="0.2">
      <c r="A47" s="37">
        <v>45984</v>
      </c>
      <c r="B47" s="35" t="s">
        <v>27</v>
      </c>
      <c r="C47" s="105">
        <v>0.1</v>
      </c>
      <c r="D47" s="39">
        <f t="shared" si="2"/>
        <v>7</v>
      </c>
    </row>
    <row r="48" spans="1:4" x14ac:dyDescent="0.2">
      <c r="A48" s="37">
        <v>45985</v>
      </c>
      <c r="B48" s="35" t="s">
        <v>37</v>
      </c>
      <c r="C48" s="105">
        <v>4.9000000000000004</v>
      </c>
      <c r="D48" s="39">
        <f t="shared" si="2"/>
        <v>343</v>
      </c>
    </row>
    <row r="49" spans="1:4" x14ac:dyDescent="0.2">
      <c r="A49" s="37">
        <v>45985</v>
      </c>
      <c r="B49" s="35" t="s">
        <v>27</v>
      </c>
      <c r="C49" s="105">
        <v>0.1</v>
      </c>
      <c r="D49" s="39">
        <f t="shared" si="2"/>
        <v>7</v>
      </c>
    </row>
    <row r="50" spans="1:4" x14ac:dyDescent="0.2">
      <c r="A50" s="37">
        <v>45986</v>
      </c>
      <c r="B50" s="35" t="s">
        <v>37</v>
      </c>
      <c r="C50" s="105">
        <v>4</v>
      </c>
      <c r="D50" s="39">
        <f t="shared" si="2"/>
        <v>280</v>
      </c>
    </row>
    <row r="51" spans="1:4" x14ac:dyDescent="0.2">
      <c r="A51" s="37">
        <v>45986</v>
      </c>
      <c r="B51" s="35" t="s">
        <v>27</v>
      </c>
      <c r="C51" s="105">
        <v>1.5</v>
      </c>
      <c r="D51" s="39">
        <f t="shared" si="2"/>
        <v>105</v>
      </c>
    </row>
    <row r="52" spans="1:4" x14ac:dyDescent="0.2">
      <c r="A52" s="37">
        <v>45987</v>
      </c>
      <c r="B52" s="35" t="s">
        <v>37</v>
      </c>
      <c r="C52" s="105">
        <v>4</v>
      </c>
      <c r="D52" s="39">
        <f t="shared" si="2"/>
        <v>280</v>
      </c>
    </row>
    <row r="53" spans="1:4" x14ac:dyDescent="0.2">
      <c r="A53" s="37">
        <v>45987</v>
      </c>
      <c r="B53" s="35" t="s">
        <v>27</v>
      </c>
      <c r="C53" s="105">
        <v>1</v>
      </c>
      <c r="D53" s="39">
        <f t="shared" si="2"/>
        <v>70</v>
      </c>
    </row>
    <row r="54" spans="1:4" x14ac:dyDescent="0.2">
      <c r="A54" s="37">
        <v>45988</v>
      </c>
      <c r="B54" s="35" t="s">
        <v>37</v>
      </c>
      <c r="C54" s="105">
        <v>4.5</v>
      </c>
      <c r="D54" s="39">
        <f t="shared" si="2"/>
        <v>315</v>
      </c>
    </row>
    <row r="55" spans="1:4" x14ac:dyDescent="0.2">
      <c r="A55" s="37">
        <v>45988</v>
      </c>
      <c r="B55" s="35" t="s">
        <v>27</v>
      </c>
      <c r="C55" s="105">
        <v>1</v>
      </c>
      <c r="D55" s="39">
        <f t="shared" si="2"/>
        <v>70</v>
      </c>
    </row>
    <row r="56" spans="1:4" x14ac:dyDescent="0.2">
      <c r="A56" s="37">
        <v>45989</v>
      </c>
      <c r="B56" s="35" t="s">
        <v>37</v>
      </c>
      <c r="C56" s="105">
        <v>4</v>
      </c>
      <c r="D56" s="39">
        <f t="shared" si="2"/>
        <v>280</v>
      </c>
    </row>
    <row r="57" spans="1:4" x14ac:dyDescent="0.2">
      <c r="A57" s="37">
        <v>45989</v>
      </c>
      <c r="B57" s="35" t="s">
        <v>27</v>
      </c>
      <c r="C57" s="105">
        <v>1</v>
      </c>
      <c r="D57" s="39">
        <f t="shared" si="2"/>
        <v>70</v>
      </c>
    </row>
    <row r="58" spans="1:4" x14ac:dyDescent="0.2">
      <c r="A58" s="37">
        <v>45990</v>
      </c>
      <c r="B58" s="35" t="s">
        <v>37</v>
      </c>
      <c r="C58" s="105">
        <v>4</v>
      </c>
      <c r="D58" s="39">
        <f t="shared" si="2"/>
        <v>280</v>
      </c>
    </row>
    <row r="59" spans="1:4" x14ac:dyDescent="0.2">
      <c r="A59" s="37">
        <v>45990</v>
      </c>
      <c r="B59" s="35" t="s">
        <v>27</v>
      </c>
      <c r="C59" s="105">
        <v>1</v>
      </c>
      <c r="D59" s="39">
        <f t="shared" si="2"/>
        <v>70</v>
      </c>
    </row>
    <row r="60" spans="1:4" x14ac:dyDescent="0.2">
      <c r="A60" s="37">
        <v>45991</v>
      </c>
      <c r="B60" s="35" t="s">
        <v>37</v>
      </c>
      <c r="C60" s="105">
        <v>6</v>
      </c>
      <c r="D60" s="39">
        <f t="shared" si="2"/>
        <v>420</v>
      </c>
    </row>
    <row r="61" spans="1:4" x14ac:dyDescent="0.2">
      <c r="A61" s="37">
        <v>45991</v>
      </c>
      <c r="B61" s="35" t="s">
        <v>27</v>
      </c>
      <c r="C61" s="105">
        <v>0.5</v>
      </c>
      <c r="D61" s="39">
        <f t="shared" si="2"/>
        <v>35</v>
      </c>
    </row>
    <row r="62" spans="1:4" x14ac:dyDescent="0.2">
      <c r="A62" s="37"/>
      <c r="B62" s="35"/>
      <c r="C62" s="105"/>
      <c r="D62" s="39" t="str">
        <f t="shared" si="2"/>
        <v/>
      </c>
    </row>
    <row r="63" spans="1:4" x14ac:dyDescent="0.2">
      <c r="A63" s="37"/>
      <c r="B63" s="35"/>
      <c r="C63" s="105"/>
      <c r="D63" s="39" t="str">
        <f t="shared" si="2"/>
        <v/>
      </c>
    </row>
    <row r="64" spans="1:4" x14ac:dyDescent="0.2">
      <c r="A64" s="37"/>
      <c r="B64" s="35"/>
      <c r="C64" s="105"/>
      <c r="D64" s="39" t="str">
        <f t="shared" si="2"/>
        <v/>
      </c>
    </row>
    <row r="65" spans="1:4" x14ac:dyDescent="0.2">
      <c r="A65" s="37"/>
      <c r="B65" s="35"/>
      <c r="C65" s="105"/>
      <c r="D65" s="39" t="str">
        <f t="shared" si="2"/>
        <v/>
      </c>
    </row>
    <row r="66" spans="1:4" x14ac:dyDescent="0.2">
      <c r="A66" s="37"/>
      <c r="B66" s="35"/>
      <c r="C66" s="105"/>
      <c r="D66" s="39" t="str">
        <f t="shared" si="2"/>
        <v/>
      </c>
    </row>
    <row r="67" spans="1:4" x14ac:dyDescent="0.2">
      <c r="A67" s="37"/>
      <c r="B67" s="35"/>
      <c r="C67" s="105"/>
      <c r="D67" s="39" t="str">
        <f t="shared" si="2"/>
        <v/>
      </c>
    </row>
    <row r="68" spans="1:4" x14ac:dyDescent="0.2">
      <c r="A68" s="37"/>
      <c r="B68" s="35"/>
      <c r="C68" s="105"/>
      <c r="D68" s="39" t="str">
        <f t="shared" si="2"/>
        <v/>
      </c>
    </row>
    <row r="69" spans="1:4" x14ac:dyDescent="0.2">
      <c r="A69" s="37"/>
      <c r="B69" s="35"/>
      <c r="C69" s="105"/>
      <c r="D69" s="39" t="str">
        <f t="shared" si="2"/>
        <v/>
      </c>
    </row>
    <row r="70" spans="1:4" x14ac:dyDescent="0.2">
      <c r="A70" s="37"/>
      <c r="B70" s="35"/>
      <c r="C70" s="105"/>
      <c r="D70" s="39" t="str">
        <f t="shared" si="2"/>
        <v/>
      </c>
    </row>
    <row r="71" spans="1:4" x14ac:dyDescent="0.2">
      <c r="A71" s="37"/>
      <c r="B71" s="35"/>
      <c r="C71" s="105"/>
      <c r="D71" s="39" t="str">
        <f t="shared" si="2"/>
        <v/>
      </c>
    </row>
    <row r="72" spans="1:4" x14ac:dyDescent="0.2">
      <c r="A72" s="37"/>
      <c r="B72" s="35"/>
      <c r="C72" s="105"/>
      <c r="D72" s="39" t="str">
        <f t="shared" si="2"/>
        <v/>
      </c>
    </row>
    <row r="73" spans="1:4" x14ac:dyDescent="0.2">
      <c r="A73" s="37"/>
      <c r="B73" s="35"/>
      <c r="C73" s="105"/>
      <c r="D73" s="39" t="str">
        <f t="shared" si="2"/>
        <v/>
      </c>
    </row>
    <row r="74" spans="1:4" x14ac:dyDescent="0.2">
      <c r="A74" s="37"/>
      <c r="B74" s="35"/>
      <c r="C74" s="105"/>
      <c r="D74" s="39" t="str">
        <f t="shared" si="2"/>
        <v/>
      </c>
    </row>
    <row r="75" spans="1:4" x14ac:dyDescent="0.2">
      <c r="A75" s="37"/>
      <c r="B75" s="35"/>
      <c r="C75" s="105"/>
      <c r="D75" s="39" t="str">
        <f t="shared" si="2"/>
        <v/>
      </c>
    </row>
    <row r="76" spans="1:4" x14ac:dyDescent="0.2">
      <c r="A76" s="37"/>
      <c r="B76" s="35"/>
      <c r="C76" s="105"/>
      <c r="D76" s="39" t="str">
        <f t="shared" si="2"/>
        <v/>
      </c>
    </row>
    <row r="77" spans="1:4" x14ac:dyDescent="0.2">
      <c r="A77" s="37"/>
      <c r="B77" s="35"/>
      <c r="C77" s="105"/>
      <c r="D77" s="39" t="str">
        <f t="shared" si="2"/>
        <v/>
      </c>
    </row>
    <row r="78" spans="1:4" x14ac:dyDescent="0.2">
      <c r="A78" s="37"/>
      <c r="B78" s="35"/>
      <c r="C78" s="105"/>
      <c r="D78" s="39" t="str">
        <f t="shared" si="2"/>
        <v/>
      </c>
    </row>
    <row r="79" spans="1:4" x14ac:dyDescent="0.2">
      <c r="A79" s="37"/>
      <c r="B79" s="35"/>
      <c r="C79" s="105"/>
      <c r="D79" s="39" t="str">
        <f t="shared" si="2"/>
        <v/>
      </c>
    </row>
    <row r="80" spans="1:4" x14ac:dyDescent="0.2">
      <c r="A80" s="37"/>
      <c r="B80" s="35"/>
      <c r="C80" s="105"/>
      <c r="D80" s="39" t="str">
        <f t="shared" si="2"/>
        <v/>
      </c>
    </row>
    <row r="81" spans="1:4" x14ac:dyDescent="0.2">
      <c r="A81" s="37"/>
      <c r="B81" s="35"/>
      <c r="C81" s="105"/>
      <c r="D81" s="39" t="str">
        <f t="shared" si="2"/>
        <v/>
      </c>
    </row>
    <row r="82" spans="1:4" x14ac:dyDescent="0.2">
      <c r="A82" s="37"/>
      <c r="B82" s="35"/>
      <c r="C82" s="105"/>
      <c r="D82" s="39" t="str">
        <f t="shared" si="2"/>
        <v/>
      </c>
    </row>
    <row r="83" spans="1:4" x14ac:dyDescent="0.2">
      <c r="A83" s="37"/>
      <c r="B83" s="35"/>
      <c r="C83" s="105"/>
      <c r="D83" s="39" t="str">
        <f t="shared" si="2"/>
        <v/>
      </c>
    </row>
    <row r="84" spans="1:4" x14ac:dyDescent="0.2">
      <c r="A84" s="37"/>
      <c r="B84" s="35"/>
      <c r="C84" s="105"/>
      <c r="D84" s="39" t="str">
        <f t="shared" si="2"/>
        <v/>
      </c>
    </row>
    <row r="85" spans="1:4" x14ac:dyDescent="0.2">
      <c r="A85" s="37"/>
      <c r="B85" s="35"/>
      <c r="C85" s="105"/>
      <c r="D85" s="39" t="str">
        <f t="shared" si="2"/>
        <v/>
      </c>
    </row>
    <row r="86" spans="1:4" x14ac:dyDescent="0.2">
      <c r="A86" s="37"/>
      <c r="B86" s="35"/>
      <c r="C86" s="105"/>
      <c r="D86" s="39" t="str">
        <f t="shared" si="2"/>
        <v/>
      </c>
    </row>
    <row r="87" spans="1:4" x14ac:dyDescent="0.2">
      <c r="A87" s="37"/>
      <c r="B87" s="35"/>
      <c r="C87" s="105"/>
      <c r="D87" s="39" t="str">
        <f t="shared" si="2"/>
        <v/>
      </c>
    </row>
    <row r="88" spans="1:4" x14ac:dyDescent="0.2">
      <c r="A88" s="37"/>
      <c r="B88" s="35"/>
      <c r="C88" s="105"/>
      <c r="D88" s="39" t="str">
        <f t="shared" si="2"/>
        <v/>
      </c>
    </row>
    <row r="89" spans="1:4" x14ac:dyDescent="0.2">
      <c r="A89" s="37"/>
      <c r="B89" s="35"/>
      <c r="C89" s="105"/>
      <c r="D89" s="39" t="str">
        <f t="shared" si="2"/>
        <v/>
      </c>
    </row>
    <row r="90" spans="1:4" x14ac:dyDescent="0.2">
      <c r="A90" s="37"/>
      <c r="B90" s="35"/>
      <c r="C90" s="105"/>
      <c r="D90" s="39" t="str">
        <f t="shared" ref="D90:D153" si="3">IFERROR(IF(C90&lt;&gt;"",C90*70, ""), "")</f>
        <v/>
      </c>
    </row>
    <row r="91" spans="1:4" x14ac:dyDescent="0.2">
      <c r="A91" s="37"/>
      <c r="B91" s="35"/>
      <c r="C91" s="105"/>
      <c r="D91" s="39" t="str">
        <f t="shared" si="3"/>
        <v/>
      </c>
    </row>
    <row r="92" spans="1:4" x14ac:dyDescent="0.2">
      <c r="A92" s="37"/>
      <c r="B92" s="35"/>
      <c r="C92" s="105"/>
      <c r="D92" s="39" t="str">
        <f t="shared" si="3"/>
        <v/>
      </c>
    </row>
    <row r="93" spans="1:4" x14ac:dyDescent="0.2">
      <c r="A93" s="37"/>
      <c r="B93" s="35"/>
      <c r="C93" s="105"/>
      <c r="D93" s="39" t="str">
        <f t="shared" si="3"/>
        <v/>
      </c>
    </row>
    <row r="94" spans="1:4" x14ac:dyDescent="0.2">
      <c r="A94" s="37"/>
      <c r="B94" s="35"/>
      <c r="C94" s="105"/>
      <c r="D94" s="39" t="str">
        <f t="shared" si="3"/>
        <v/>
      </c>
    </row>
    <row r="95" spans="1:4" x14ac:dyDescent="0.2">
      <c r="A95" s="37"/>
      <c r="B95" s="35"/>
      <c r="C95" s="105"/>
      <c r="D95" s="39" t="str">
        <f t="shared" si="3"/>
        <v/>
      </c>
    </row>
    <row r="96" spans="1:4" x14ac:dyDescent="0.2">
      <c r="A96" s="37"/>
      <c r="B96" s="35"/>
      <c r="C96" s="105"/>
      <c r="D96" s="39" t="str">
        <f t="shared" si="3"/>
        <v/>
      </c>
    </row>
    <row r="97" spans="1:4" x14ac:dyDescent="0.2">
      <c r="A97" s="37"/>
      <c r="B97" s="35"/>
      <c r="C97" s="105"/>
      <c r="D97" s="39" t="str">
        <f t="shared" si="3"/>
        <v/>
      </c>
    </row>
    <row r="98" spans="1:4" x14ac:dyDescent="0.2">
      <c r="A98" s="37"/>
      <c r="B98" s="35"/>
      <c r="C98" s="105"/>
      <c r="D98" s="39" t="str">
        <f t="shared" si="3"/>
        <v/>
      </c>
    </row>
    <row r="99" spans="1:4" x14ac:dyDescent="0.2">
      <c r="A99" s="37"/>
      <c r="B99" s="35"/>
      <c r="C99" s="105"/>
      <c r="D99" s="39" t="str">
        <f t="shared" si="3"/>
        <v/>
      </c>
    </row>
    <row r="100" spans="1:4" x14ac:dyDescent="0.2">
      <c r="A100" s="37"/>
      <c r="B100" s="35"/>
      <c r="C100" s="105"/>
      <c r="D100" s="39" t="str">
        <f t="shared" si="3"/>
        <v/>
      </c>
    </row>
    <row r="101" spans="1:4" x14ac:dyDescent="0.2">
      <c r="A101" s="37"/>
      <c r="B101" s="35"/>
      <c r="C101" s="105"/>
      <c r="D101" s="39" t="str">
        <f t="shared" si="3"/>
        <v/>
      </c>
    </row>
    <row r="102" spans="1:4" x14ac:dyDescent="0.2">
      <c r="A102" s="37"/>
      <c r="B102" s="35"/>
      <c r="C102" s="105"/>
      <c r="D102" s="39" t="str">
        <f t="shared" si="3"/>
        <v/>
      </c>
    </row>
    <row r="103" spans="1:4" x14ac:dyDescent="0.2">
      <c r="A103" s="37"/>
      <c r="B103" s="35"/>
      <c r="C103" s="105"/>
      <c r="D103" s="39" t="str">
        <f t="shared" si="3"/>
        <v/>
      </c>
    </row>
    <row r="104" spans="1:4" x14ac:dyDescent="0.2">
      <c r="A104" s="37"/>
      <c r="B104" s="35"/>
      <c r="C104" s="105"/>
      <c r="D104" s="39" t="str">
        <f t="shared" si="3"/>
        <v/>
      </c>
    </row>
    <row r="105" spans="1:4" x14ac:dyDescent="0.2">
      <c r="A105" s="37"/>
      <c r="B105" s="35"/>
      <c r="C105" s="105"/>
      <c r="D105" s="39" t="str">
        <f t="shared" si="3"/>
        <v/>
      </c>
    </row>
    <row r="106" spans="1:4" x14ac:dyDescent="0.2">
      <c r="A106" s="37"/>
      <c r="B106" s="35"/>
      <c r="C106" s="105"/>
      <c r="D106" s="39" t="str">
        <f t="shared" si="3"/>
        <v/>
      </c>
    </row>
    <row r="107" spans="1:4" x14ac:dyDescent="0.2">
      <c r="A107" s="37"/>
      <c r="B107" s="35"/>
      <c r="C107" s="105"/>
      <c r="D107" s="39" t="str">
        <f t="shared" si="3"/>
        <v/>
      </c>
    </row>
    <row r="108" spans="1:4" x14ac:dyDescent="0.2">
      <c r="A108" s="37"/>
      <c r="B108" s="35"/>
      <c r="C108" s="105"/>
      <c r="D108" s="39" t="str">
        <f t="shared" si="3"/>
        <v/>
      </c>
    </row>
    <row r="109" spans="1:4" x14ac:dyDescent="0.2">
      <c r="A109" s="37"/>
      <c r="B109" s="35"/>
      <c r="C109" s="105"/>
      <c r="D109" s="39" t="str">
        <f t="shared" si="3"/>
        <v/>
      </c>
    </row>
    <row r="110" spans="1:4" x14ac:dyDescent="0.2">
      <c r="A110" s="37"/>
      <c r="B110" s="35"/>
      <c r="C110" s="105"/>
      <c r="D110" s="39" t="str">
        <f t="shared" si="3"/>
        <v/>
      </c>
    </row>
    <row r="111" spans="1:4" x14ac:dyDescent="0.2">
      <c r="A111" s="37"/>
      <c r="B111" s="35"/>
      <c r="C111" s="105"/>
      <c r="D111" s="39" t="str">
        <f t="shared" si="3"/>
        <v/>
      </c>
    </row>
    <row r="112" spans="1:4" x14ac:dyDescent="0.2">
      <c r="A112" s="37"/>
      <c r="B112" s="35"/>
      <c r="C112" s="105"/>
      <c r="D112" s="39" t="str">
        <f t="shared" si="3"/>
        <v/>
      </c>
    </row>
    <row r="113" spans="1:4" x14ac:dyDescent="0.2">
      <c r="A113" s="37"/>
      <c r="B113" s="35"/>
      <c r="C113" s="105"/>
      <c r="D113" s="39" t="str">
        <f t="shared" si="3"/>
        <v/>
      </c>
    </row>
    <row r="114" spans="1:4" x14ac:dyDescent="0.2">
      <c r="A114" s="37"/>
      <c r="B114" s="35"/>
      <c r="C114" s="105"/>
      <c r="D114" s="39" t="str">
        <f t="shared" si="3"/>
        <v/>
      </c>
    </row>
    <row r="115" spans="1:4" x14ac:dyDescent="0.2">
      <c r="A115" s="37"/>
      <c r="B115" s="35"/>
      <c r="C115" s="105"/>
      <c r="D115" s="39" t="str">
        <f t="shared" si="3"/>
        <v/>
      </c>
    </row>
    <row r="116" spans="1:4" x14ac:dyDescent="0.2">
      <c r="A116" s="37"/>
      <c r="B116" s="35"/>
      <c r="C116" s="105"/>
      <c r="D116" s="39" t="str">
        <f t="shared" si="3"/>
        <v/>
      </c>
    </row>
    <row r="117" spans="1:4" x14ac:dyDescent="0.2">
      <c r="A117" s="37"/>
      <c r="B117" s="35"/>
      <c r="C117" s="105"/>
      <c r="D117" s="39" t="str">
        <f t="shared" si="3"/>
        <v/>
      </c>
    </row>
    <row r="118" spans="1:4" x14ac:dyDescent="0.2">
      <c r="A118" s="37"/>
      <c r="B118" s="35"/>
      <c r="C118" s="105"/>
      <c r="D118" s="39" t="str">
        <f t="shared" si="3"/>
        <v/>
      </c>
    </row>
    <row r="119" spans="1:4" x14ac:dyDescent="0.2">
      <c r="A119" s="37"/>
      <c r="B119" s="35"/>
      <c r="C119" s="105"/>
      <c r="D119" s="39" t="str">
        <f t="shared" si="3"/>
        <v/>
      </c>
    </row>
    <row r="120" spans="1:4" x14ac:dyDescent="0.2">
      <c r="A120" s="37"/>
      <c r="B120" s="35"/>
      <c r="C120" s="105"/>
      <c r="D120" s="39" t="str">
        <f t="shared" si="3"/>
        <v/>
      </c>
    </row>
    <row r="121" spans="1:4" x14ac:dyDescent="0.2">
      <c r="A121" s="37"/>
      <c r="B121" s="35"/>
      <c r="C121" s="105"/>
      <c r="D121" s="39" t="str">
        <f t="shared" si="3"/>
        <v/>
      </c>
    </row>
    <row r="122" spans="1:4" x14ac:dyDescent="0.2">
      <c r="A122" s="37"/>
      <c r="B122" s="35"/>
      <c r="C122" s="105"/>
      <c r="D122" s="39" t="str">
        <f t="shared" si="3"/>
        <v/>
      </c>
    </row>
    <row r="123" spans="1:4" x14ac:dyDescent="0.2">
      <c r="A123" s="37"/>
      <c r="B123" s="35"/>
      <c r="C123" s="105"/>
      <c r="D123" s="39" t="str">
        <f t="shared" si="3"/>
        <v/>
      </c>
    </row>
    <row r="124" spans="1:4" x14ac:dyDescent="0.2">
      <c r="A124" s="37"/>
      <c r="B124" s="35"/>
      <c r="C124" s="105"/>
      <c r="D124" s="39" t="str">
        <f t="shared" si="3"/>
        <v/>
      </c>
    </row>
    <row r="125" spans="1:4" x14ac:dyDescent="0.2">
      <c r="A125" s="37"/>
      <c r="B125" s="35"/>
      <c r="C125" s="105"/>
      <c r="D125" s="39" t="str">
        <f t="shared" si="3"/>
        <v/>
      </c>
    </row>
    <row r="126" spans="1:4" x14ac:dyDescent="0.2">
      <c r="A126" s="37"/>
      <c r="B126" s="35"/>
      <c r="C126" s="105"/>
      <c r="D126" s="39" t="str">
        <f t="shared" si="3"/>
        <v/>
      </c>
    </row>
    <row r="127" spans="1:4" x14ac:dyDescent="0.2">
      <c r="A127" s="37"/>
      <c r="B127" s="35"/>
      <c r="C127" s="105"/>
      <c r="D127" s="39" t="str">
        <f t="shared" si="3"/>
        <v/>
      </c>
    </row>
    <row r="128" spans="1:4" x14ac:dyDescent="0.2">
      <c r="A128" s="37"/>
      <c r="B128" s="35"/>
      <c r="C128" s="105"/>
      <c r="D128" s="39" t="str">
        <f t="shared" si="3"/>
        <v/>
      </c>
    </row>
    <row r="129" spans="1:4" x14ac:dyDescent="0.2">
      <c r="A129" s="37"/>
      <c r="B129" s="35"/>
      <c r="C129" s="105"/>
      <c r="D129" s="39" t="str">
        <f t="shared" si="3"/>
        <v/>
      </c>
    </row>
    <row r="130" spans="1:4" x14ac:dyDescent="0.2">
      <c r="A130" s="37"/>
      <c r="B130" s="35"/>
      <c r="C130" s="105"/>
      <c r="D130" s="39" t="str">
        <f t="shared" si="3"/>
        <v/>
      </c>
    </row>
    <row r="131" spans="1:4" x14ac:dyDescent="0.2">
      <c r="A131" s="37"/>
      <c r="B131" s="35"/>
      <c r="C131" s="105"/>
      <c r="D131" s="39" t="str">
        <f t="shared" si="3"/>
        <v/>
      </c>
    </row>
    <row r="132" spans="1:4" x14ac:dyDescent="0.2">
      <c r="A132" s="37"/>
      <c r="B132" s="35"/>
      <c r="C132" s="105"/>
      <c r="D132" s="39" t="str">
        <f t="shared" si="3"/>
        <v/>
      </c>
    </row>
    <row r="133" spans="1:4" x14ac:dyDescent="0.2">
      <c r="A133" s="37"/>
      <c r="B133" s="35"/>
      <c r="C133" s="105"/>
      <c r="D133" s="39" t="str">
        <f t="shared" si="3"/>
        <v/>
      </c>
    </row>
    <row r="134" spans="1:4" x14ac:dyDescent="0.2">
      <c r="A134" s="37"/>
      <c r="B134" s="35"/>
      <c r="C134" s="105"/>
      <c r="D134" s="39" t="str">
        <f t="shared" si="3"/>
        <v/>
      </c>
    </row>
    <row r="135" spans="1:4" x14ac:dyDescent="0.2">
      <c r="A135" s="37"/>
      <c r="B135" s="35"/>
      <c r="C135" s="105"/>
      <c r="D135" s="39" t="str">
        <f t="shared" si="3"/>
        <v/>
      </c>
    </row>
    <row r="136" spans="1:4" x14ac:dyDescent="0.2">
      <c r="A136" s="37"/>
      <c r="B136" s="35"/>
      <c r="C136" s="105"/>
      <c r="D136" s="39" t="str">
        <f t="shared" si="3"/>
        <v/>
      </c>
    </row>
    <row r="137" spans="1:4" x14ac:dyDescent="0.2">
      <c r="A137" s="37"/>
      <c r="B137" s="35"/>
      <c r="C137" s="105"/>
      <c r="D137" s="39" t="str">
        <f t="shared" si="3"/>
        <v/>
      </c>
    </row>
    <row r="138" spans="1:4" x14ac:dyDescent="0.2">
      <c r="A138" s="37"/>
      <c r="B138" s="35"/>
      <c r="C138" s="105"/>
      <c r="D138" s="39" t="str">
        <f t="shared" si="3"/>
        <v/>
      </c>
    </row>
    <row r="139" spans="1:4" x14ac:dyDescent="0.2">
      <c r="A139" s="37"/>
      <c r="B139" s="35"/>
      <c r="C139" s="105"/>
      <c r="D139" s="39" t="str">
        <f t="shared" si="3"/>
        <v/>
      </c>
    </row>
    <row r="140" spans="1:4" x14ac:dyDescent="0.2">
      <c r="A140" s="37"/>
      <c r="B140" s="35"/>
      <c r="C140" s="105"/>
      <c r="D140" s="39" t="str">
        <f t="shared" si="3"/>
        <v/>
      </c>
    </row>
    <row r="141" spans="1:4" x14ac:dyDescent="0.2">
      <c r="A141" s="37"/>
      <c r="B141" s="35"/>
      <c r="C141" s="105"/>
      <c r="D141" s="39" t="str">
        <f t="shared" si="3"/>
        <v/>
      </c>
    </row>
    <row r="142" spans="1:4" x14ac:dyDescent="0.2">
      <c r="A142" s="37"/>
      <c r="B142" s="35"/>
      <c r="C142" s="105"/>
      <c r="D142" s="39" t="str">
        <f t="shared" si="3"/>
        <v/>
      </c>
    </row>
    <row r="143" spans="1:4" x14ac:dyDescent="0.2">
      <c r="A143" s="37"/>
      <c r="B143" s="35"/>
      <c r="C143" s="105"/>
      <c r="D143" s="39" t="str">
        <f t="shared" si="3"/>
        <v/>
      </c>
    </row>
    <row r="144" spans="1:4" x14ac:dyDescent="0.2">
      <c r="A144" s="37"/>
      <c r="B144" s="35"/>
      <c r="C144" s="105"/>
      <c r="D144" s="39" t="str">
        <f t="shared" si="3"/>
        <v/>
      </c>
    </row>
    <row r="145" spans="1:4" x14ac:dyDescent="0.2">
      <c r="A145" s="37"/>
      <c r="B145" s="35"/>
      <c r="C145" s="105"/>
      <c r="D145" s="39" t="str">
        <f t="shared" si="3"/>
        <v/>
      </c>
    </row>
    <row r="146" spans="1:4" x14ac:dyDescent="0.2">
      <c r="A146" s="37"/>
      <c r="B146" s="35"/>
      <c r="C146" s="105"/>
      <c r="D146" s="39" t="str">
        <f t="shared" si="3"/>
        <v/>
      </c>
    </row>
    <row r="147" spans="1:4" x14ac:dyDescent="0.2">
      <c r="A147" s="37"/>
      <c r="B147" s="35"/>
      <c r="C147" s="105"/>
      <c r="D147" s="39" t="str">
        <f t="shared" si="3"/>
        <v/>
      </c>
    </row>
    <row r="148" spans="1:4" x14ac:dyDescent="0.2">
      <c r="A148" s="37"/>
      <c r="B148" s="35"/>
      <c r="C148" s="105"/>
      <c r="D148" s="39" t="str">
        <f t="shared" si="3"/>
        <v/>
      </c>
    </row>
    <row r="149" spans="1:4" x14ac:dyDescent="0.2">
      <c r="A149" s="37"/>
      <c r="B149" s="35"/>
      <c r="C149" s="105"/>
      <c r="D149" s="39" t="str">
        <f t="shared" si="3"/>
        <v/>
      </c>
    </row>
    <row r="150" spans="1:4" x14ac:dyDescent="0.2">
      <c r="A150" s="37"/>
      <c r="B150" s="35"/>
      <c r="C150" s="105"/>
      <c r="D150" s="39" t="str">
        <f t="shared" si="3"/>
        <v/>
      </c>
    </row>
    <row r="151" spans="1:4" x14ac:dyDescent="0.2">
      <c r="A151" s="37"/>
      <c r="B151" s="35"/>
      <c r="C151" s="105"/>
      <c r="D151" s="39" t="str">
        <f t="shared" si="3"/>
        <v/>
      </c>
    </row>
    <row r="152" spans="1:4" x14ac:dyDescent="0.2">
      <c r="A152" s="37"/>
      <c r="B152" s="35"/>
      <c r="C152" s="105"/>
      <c r="D152" s="39" t="str">
        <f t="shared" si="3"/>
        <v/>
      </c>
    </row>
    <row r="153" spans="1:4" x14ac:dyDescent="0.2">
      <c r="A153" s="37"/>
      <c r="B153" s="35"/>
      <c r="C153" s="105"/>
      <c r="D153" s="39" t="str">
        <f t="shared" si="3"/>
        <v/>
      </c>
    </row>
    <row r="154" spans="1:4" x14ac:dyDescent="0.2">
      <c r="A154" s="37"/>
      <c r="B154" s="35"/>
      <c r="C154" s="105"/>
      <c r="D154" s="39" t="str">
        <f t="shared" ref="D154:D217" si="4">IFERROR(IF(C154&lt;&gt;"",C154*70, ""), "")</f>
        <v/>
      </c>
    </row>
    <row r="155" spans="1:4" x14ac:dyDescent="0.2">
      <c r="A155" s="37"/>
      <c r="B155" s="35"/>
      <c r="C155" s="105"/>
      <c r="D155" s="39" t="str">
        <f t="shared" si="4"/>
        <v/>
      </c>
    </row>
    <row r="156" spans="1:4" x14ac:dyDescent="0.2">
      <c r="A156" s="37"/>
      <c r="B156" s="35"/>
      <c r="C156" s="105"/>
      <c r="D156" s="39" t="str">
        <f t="shared" si="4"/>
        <v/>
      </c>
    </row>
    <row r="157" spans="1:4" x14ac:dyDescent="0.2">
      <c r="A157" s="37"/>
      <c r="B157" s="35"/>
      <c r="C157" s="105"/>
      <c r="D157" s="39" t="str">
        <f t="shared" si="4"/>
        <v/>
      </c>
    </row>
    <row r="158" spans="1:4" x14ac:dyDescent="0.2">
      <c r="A158" s="37"/>
      <c r="B158" s="35"/>
      <c r="C158" s="105"/>
      <c r="D158" s="39" t="str">
        <f t="shared" si="4"/>
        <v/>
      </c>
    </row>
    <row r="159" spans="1:4" x14ac:dyDescent="0.2">
      <c r="A159" s="37"/>
      <c r="B159" s="35"/>
      <c r="C159" s="105"/>
      <c r="D159" s="39" t="str">
        <f t="shared" si="4"/>
        <v/>
      </c>
    </row>
    <row r="160" spans="1:4" x14ac:dyDescent="0.2">
      <c r="A160" s="37"/>
      <c r="B160" s="35"/>
      <c r="C160" s="105"/>
      <c r="D160" s="39" t="str">
        <f t="shared" si="4"/>
        <v/>
      </c>
    </row>
    <row r="161" spans="1:4" x14ac:dyDescent="0.2">
      <c r="A161" s="37"/>
      <c r="B161" s="35"/>
      <c r="C161" s="105"/>
      <c r="D161" s="39" t="str">
        <f t="shared" si="4"/>
        <v/>
      </c>
    </row>
    <row r="162" spans="1:4" x14ac:dyDescent="0.2">
      <c r="A162" s="37"/>
      <c r="B162" s="35"/>
      <c r="C162" s="105"/>
      <c r="D162" s="39" t="str">
        <f t="shared" si="4"/>
        <v/>
      </c>
    </row>
    <row r="163" spans="1:4" x14ac:dyDescent="0.2">
      <c r="A163" s="37"/>
      <c r="B163" s="35"/>
      <c r="C163" s="105"/>
      <c r="D163" s="39" t="str">
        <f t="shared" si="4"/>
        <v/>
      </c>
    </row>
    <row r="164" spans="1:4" x14ac:dyDescent="0.2">
      <c r="A164" s="37"/>
      <c r="B164" s="35"/>
      <c r="C164" s="105"/>
      <c r="D164" s="39" t="str">
        <f t="shared" si="4"/>
        <v/>
      </c>
    </row>
    <row r="165" spans="1:4" x14ac:dyDescent="0.2">
      <c r="A165" s="37"/>
      <c r="B165" s="35"/>
      <c r="C165" s="105"/>
      <c r="D165" s="39" t="str">
        <f t="shared" si="4"/>
        <v/>
      </c>
    </row>
    <row r="166" spans="1:4" x14ac:dyDescent="0.2">
      <c r="A166" s="37"/>
      <c r="B166" s="35"/>
      <c r="C166" s="105"/>
      <c r="D166" s="39" t="str">
        <f t="shared" si="4"/>
        <v/>
      </c>
    </row>
    <row r="167" spans="1:4" x14ac:dyDescent="0.2">
      <c r="A167" s="37"/>
      <c r="B167" s="35"/>
      <c r="C167" s="105"/>
      <c r="D167" s="39" t="str">
        <f t="shared" si="4"/>
        <v/>
      </c>
    </row>
    <row r="168" spans="1:4" x14ac:dyDescent="0.2">
      <c r="A168" s="37"/>
      <c r="B168" s="35"/>
      <c r="C168" s="105"/>
      <c r="D168" s="39" t="str">
        <f t="shared" si="4"/>
        <v/>
      </c>
    </row>
    <row r="169" spans="1:4" x14ac:dyDescent="0.2">
      <c r="A169" s="37"/>
      <c r="B169" s="35"/>
      <c r="C169" s="105"/>
      <c r="D169" s="39" t="str">
        <f t="shared" si="4"/>
        <v/>
      </c>
    </row>
    <row r="170" spans="1:4" x14ac:dyDescent="0.2">
      <c r="A170" s="37"/>
      <c r="B170" s="35"/>
      <c r="C170" s="105"/>
      <c r="D170" s="39" t="str">
        <f t="shared" si="4"/>
        <v/>
      </c>
    </row>
    <row r="171" spans="1:4" x14ac:dyDescent="0.2">
      <c r="A171" s="37"/>
      <c r="B171" s="35"/>
      <c r="C171" s="105"/>
      <c r="D171" s="39" t="str">
        <f t="shared" si="4"/>
        <v/>
      </c>
    </row>
    <row r="172" spans="1:4" x14ac:dyDescent="0.2">
      <c r="A172" s="37"/>
      <c r="B172" s="35"/>
      <c r="C172" s="105"/>
      <c r="D172" s="39" t="str">
        <f t="shared" si="4"/>
        <v/>
      </c>
    </row>
    <row r="173" spans="1:4" x14ac:dyDescent="0.2">
      <c r="A173" s="37"/>
      <c r="B173" s="35"/>
      <c r="C173" s="105"/>
      <c r="D173" s="39" t="str">
        <f t="shared" si="4"/>
        <v/>
      </c>
    </row>
    <row r="174" spans="1:4" x14ac:dyDescent="0.2">
      <c r="A174" s="37"/>
      <c r="B174" s="35"/>
      <c r="C174" s="105"/>
      <c r="D174" s="39" t="str">
        <f t="shared" si="4"/>
        <v/>
      </c>
    </row>
    <row r="175" spans="1:4" x14ac:dyDescent="0.2">
      <c r="A175" s="37"/>
      <c r="B175" s="35"/>
      <c r="C175" s="105"/>
      <c r="D175" s="39" t="str">
        <f t="shared" si="4"/>
        <v/>
      </c>
    </row>
    <row r="176" spans="1:4" x14ac:dyDescent="0.2">
      <c r="A176" s="37"/>
      <c r="B176" s="35"/>
      <c r="C176" s="105"/>
      <c r="D176" s="39" t="str">
        <f t="shared" si="4"/>
        <v/>
      </c>
    </row>
    <row r="177" spans="1:4" x14ac:dyDescent="0.2">
      <c r="A177" s="37"/>
      <c r="B177" s="35"/>
      <c r="C177" s="105"/>
      <c r="D177" s="39" t="str">
        <f t="shared" si="4"/>
        <v/>
      </c>
    </row>
    <row r="178" spans="1:4" x14ac:dyDescent="0.2">
      <c r="A178" s="37"/>
      <c r="B178" s="35"/>
      <c r="C178" s="105"/>
      <c r="D178" s="39" t="str">
        <f t="shared" si="4"/>
        <v/>
      </c>
    </row>
    <row r="179" spans="1:4" x14ac:dyDescent="0.2">
      <c r="A179" s="37"/>
      <c r="B179" s="35"/>
      <c r="C179" s="105"/>
      <c r="D179" s="39" t="str">
        <f t="shared" si="4"/>
        <v/>
      </c>
    </row>
    <row r="180" spans="1:4" x14ac:dyDescent="0.2">
      <c r="A180" s="37"/>
      <c r="B180" s="35"/>
      <c r="C180" s="105"/>
      <c r="D180" s="39" t="str">
        <f t="shared" si="4"/>
        <v/>
      </c>
    </row>
    <row r="181" spans="1:4" x14ac:dyDescent="0.2">
      <c r="A181" s="37"/>
      <c r="B181" s="35"/>
      <c r="C181" s="105"/>
      <c r="D181" s="39" t="str">
        <f t="shared" si="4"/>
        <v/>
      </c>
    </row>
    <row r="182" spans="1:4" x14ac:dyDescent="0.2">
      <c r="A182" s="37"/>
      <c r="B182" s="35"/>
      <c r="C182" s="105"/>
      <c r="D182" s="39" t="str">
        <f t="shared" si="4"/>
        <v/>
      </c>
    </row>
    <row r="183" spans="1:4" x14ac:dyDescent="0.2">
      <c r="A183" s="37"/>
      <c r="B183" s="35"/>
      <c r="C183" s="105"/>
      <c r="D183" s="39" t="str">
        <f t="shared" si="4"/>
        <v/>
      </c>
    </row>
    <row r="184" spans="1:4" x14ac:dyDescent="0.2">
      <c r="A184" s="37"/>
      <c r="B184" s="35"/>
      <c r="C184" s="105"/>
      <c r="D184" s="39" t="str">
        <f t="shared" si="4"/>
        <v/>
      </c>
    </row>
    <row r="185" spans="1:4" x14ac:dyDescent="0.2">
      <c r="A185" s="37"/>
      <c r="B185" s="35"/>
      <c r="C185" s="105"/>
      <c r="D185" s="39" t="str">
        <f t="shared" si="4"/>
        <v/>
      </c>
    </row>
    <row r="186" spans="1:4" x14ac:dyDescent="0.2">
      <c r="A186" s="37"/>
      <c r="B186" s="35"/>
      <c r="C186" s="105"/>
      <c r="D186" s="39" t="str">
        <f t="shared" si="4"/>
        <v/>
      </c>
    </row>
    <row r="187" spans="1:4" x14ac:dyDescent="0.2">
      <c r="A187" s="37"/>
      <c r="B187" s="35"/>
      <c r="C187" s="105"/>
      <c r="D187" s="39" t="str">
        <f t="shared" si="4"/>
        <v/>
      </c>
    </row>
    <row r="188" spans="1:4" x14ac:dyDescent="0.2">
      <c r="A188" s="37"/>
      <c r="B188" s="35"/>
      <c r="C188" s="105"/>
      <c r="D188" s="39" t="str">
        <f t="shared" si="4"/>
        <v/>
      </c>
    </row>
    <row r="189" spans="1:4" x14ac:dyDescent="0.2">
      <c r="A189" s="37"/>
      <c r="B189" s="35"/>
      <c r="C189" s="105"/>
      <c r="D189" s="39" t="str">
        <f t="shared" si="4"/>
        <v/>
      </c>
    </row>
    <row r="190" spans="1:4" x14ac:dyDescent="0.2">
      <c r="A190" s="37"/>
      <c r="B190" s="35"/>
      <c r="C190" s="105"/>
      <c r="D190" s="39" t="str">
        <f t="shared" si="4"/>
        <v/>
      </c>
    </row>
    <row r="191" spans="1:4" x14ac:dyDescent="0.2">
      <c r="A191" s="37"/>
      <c r="B191" s="35"/>
      <c r="C191" s="105"/>
      <c r="D191" s="39" t="str">
        <f t="shared" si="4"/>
        <v/>
      </c>
    </row>
    <row r="192" spans="1:4" x14ac:dyDescent="0.2">
      <c r="A192" s="37"/>
      <c r="B192" s="35"/>
      <c r="C192" s="105"/>
      <c r="D192" s="39" t="str">
        <f t="shared" si="4"/>
        <v/>
      </c>
    </row>
    <row r="193" spans="1:4" x14ac:dyDescent="0.2">
      <c r="A193" s="37"/>
      <c r="B193" s="35"/>
      <c r="C193" s="105"/>
      <c r="D193" s="39" t="str">
        <f t="shared" si="4"/>
        <v/>
      </c>
    </row>
    <row r="194" spans="1:4" x14ac:dyDescent="0.2">
      <c r="A194" s="37"/>
      <c r="B194" s="35"/>
      <c r="C194" s="105"/>
      <c r="D194" s="39" t="str">
        <f t="shared" si="4"/>
        <v/>
      </c>
    </row>
    <row r="195" spans="1:4" x14ac:dyDescent="0.2">
      <c r="A195" s="37"/>
      <c r="B195" s="35"/>
      <c r="C195" s="105"/>
      <c r="D195" s="39" t="str">
        <f t="shared" si="4"/>
        <v/>
      </c>
    </row>
    <row r="196" spans="1:4" x14ac:dyDescent="0.2">
      <c r="A196" s="37"/>
      <c r="B196" s="35"/>
      <c r="C196" s="105"/>
      <c r="D196" s="39" t="str">
        <f t="shared" si="4"/>
        <v/>
      </c>
    </row>
    <row r="197" spans="1:4" x14ac:dyDescent="0.2">
      <c r="A197" s="37"/>
      <c r="B197" s="35"/>
      <c r="C197" s="105"/>
      <c r="D197" s="39" t="str">
        <f t="shared" si="4"/>
        <v/>
      </c>
    </row>
    <row r="198" spans="1:4" x14ac:dyDescent="0.2">
      <c r="A198" s="37"/>
      <c r="B198" s="35"/>
      <c r="C198" s="105"/>
      <c r="D198" s="39" t="str">
        <f t="shared" si="4"/>
        <v/>
      </c>
    </row>
    <row r="199" spans="1:4" x14ac:dyDescent="0.2">
      <c r="A199" s="37"/>
      <c r="B199" s="35"/>
      <c r="C199" s="105"/>
      <c r="D199" s="39" t="str">
        <f t="shared" si="4"/>
        <v/>
      </c>
    </row>
    <row r="200" spans="1:4" x14ac:dyDescent="0.2">
      <c r="A200" s="37"/>
      <c r="B200" s="35"/>
      <c r="C200" s="105"/>
      <c r="D200" s="39" t="str">
        <f t="shared" si="4"/>
        <v/>
      </c>
    </row>
    <row r="201" spans="1:4" x14ac:dyDescent="0.2">
      <c r="A201" s="37"/>
      <c r="B201" s="35"/>
      <c r="C201" s="105"/>
      <c r="D201" s="39" t="str">
        <f t="shared" si="4"/>
        <v/>
      </c>
    </row>
    <row r="202" spans="1:4" x14ac:dyDescent="0.2">
      <c r="A202" s="37"/>
      <c r="B202" s="35"/>
      <c r="C202" s="105"/>
      <c r="D202" s="39" t="str">
        <f t="shared" si="4"/>
        <v/>
      </c>
    </row>
    <row r="203" spans="1:4" x14ac:dyDescent="0.2">
      <c r="A203" s="37"/>
      <c r="B203" s="35"/>
      <c r="C203" s="105"/>
      <c r="D203" s="39" t="str">
        <f t="shared" si="4"/>
        <v/>
      </c>
    </row>
    <row r="204" spans="1:4" x14ac:dyDescent="0.2">
      <c r="A204" s="37"/>
      <c r="B204" s="35"/>
      <c r="C204" s="105"/>
      <c r="D204" s="39" t="str">
        <f t="shared" si="4"/>
        <v/>
      </c>
    </row>
    <row r="205" spans="1:4" x14ac:dyDescent="0.2">
      <c r="A205" s="37"/>
      <c r="B205" s="35"/>
      <c r="C205" s="105"/>
      <c r="D205" s="39" t="str">
        <f t="shared" si="4"/>
        <v/>
      </c>
    </row>
    <row r="206" spans="1:4" x14ac:dyDescent="0.2">
      <c r="A206" s="37"/>
      <c r="B206" s="35"/>
      <c r="C206" s="105"/>
      <c r="D206" s="39" t="str">
        <f t="shared" si="4"/>
        <v/>
      </c>
    </row>
    <row r="207" spans="1:4" x14ac:dyDescent="0.2">
      <c r="A207" s="37"/>
      <c r="B207" s="35"/>
      <c r="C207" s="105"/>
      <c r="D207" s="39" t="str">
        <f t="shared" si="4"/>
        <v/>
      </c>
    </row>
    <row r="208" spans="1:4" x14ac:dyDescent="0.2">
      <c r="A208" s="37"/>
      <c r="B208" s="35"/>
      <c r="C208" s="105"/>
      <c r="D208" s="39" t="str">
        <f t="shared" si="4"/>
        <v/>
      </c>
    </row>
    <row r="209" spans="1:4" x14ac:dyDescent="0.2">
      <c r="A209" s="37"/>
      <c r="B209" s="35"/>
      <c r="C209" s="105"/>
      <c r="D209" s="39" t="str">
        <f t="shared" si="4"/>
        <v/>
      </c>
    </row>
    <row r="210" spans="1:4" x14ac:dyDescent="0.2">
      <c r="A210" s="37"/>
      <c r="B210" s="35"/>
      <c r="C210" s="105"/>
      <c r="D210" s="39" t="str">
        <f t="shared" si="4"/>
        <v/>
      </c>
    </row>
    <row r="211" spans="1:4" x14ac:dyDescent="0.2">
      <c r="A211" s="37"/>
      <c r="B211" s="35"/>
      <c r="C211" s="105"/>
      <c r="D211" s="39" t="str">
        <f t="shared" si="4"/>
        <v/>
      </c>
    </row>
    <row r="212" spans="1:4" x14ac:dyDescent="0.2">
      <c r="A212" s="37"/>
      <c r="B212" s="35"/>
      <c r="C212" s="105"/>
      <c r="D212" s="39" t="str">
        <f t="shared" si="4"/>
        <v/>
      </c>
    </row>
    <row r="213" spans="1:4" x14ac:dyDescent="0.2">
      <c r="A213" s="37"/>
      <c r="B213" s="35"/>
      <c r="C213" s="105"/>
      <c r="D213" s="39" t="str">
        <f t="shared" si="4"/>
        <v/>
      </c>
    </row>
    <row r="214" spans="1:4" x14ac:dyDescent="0.2">
      <c r="A214" s="37"/>
      <c r="B214" s="35"/>
      <c r="C214" s="105"/>
      <c r="D214" s="39" t="str">
        <f t="shared" si="4"/>
        <v/>
      </c>
    </row>
    <row r="215" spans="1:4" x14ac:dyDescent="0.2">
      <c r="A215" s="37"/>
      <c r="B215" s="35"/>
      <c r="C215" s="105"/>
      <c r="D215" s="39" t="str">
        <f t="shared" si="4"/>
        <v/>
      </c>
    </row>
    <row r="216" spans="1:4" x14ac:dyDescent="0.2">
      <c r="A216" s="37"/>
      <c r="B216" s="35"/>
      <c r="C216" s="105"/>
      <c r="D216" s="39" t="str">
        <f t="shared" si="4"/>
        <v/>
      </c>
    </row>
    <row r="217" spans="1:4" x14ac:dyDescent="0.2">
      <c r="A217" s="37"/>
      <c r="B217" s="35"/>
      <c r="C217" s="105"/>
      <c r="D217" s="39" t="str">
        <f t="shared" si="4"/>
        <v/>
      </c>
    </row>
    <row r="218" spans="1:4" x14ac:dyDescent="0.2">
      <c r="A218" s="37"/>
      <c r="B218" s="35"/>
      <c r="C218" s="105"/>
      <c r="D218" s="39" t="str">
        <f t="shared" ref="D218:D281" si="5">IFERROR(IF(C218&lt;&gt;"",C218*70, ""), "")</f>
        <v/>
      </c>
    </row>
    <row r="219" spans="1:4" x14ac:dyDescent="0.2">
      <c r="A219" s="37"/>
      <c r="B219" s="35"/>
      <c r="C219" s="105"/>
      <c r="D219" s="39" t="str">
        <f t="shared" si="5"/>
        <v/>
      </c>
    </row>
    <row r="220" spans="1:4" x14ac:dyDescent="0.2">
      <c r="A220" s="37"/>
      <c r="B220" s="35"/>
      <c r="C220" s="105"/>
      <c r="D220" s="39" t="str">
        <f t="shared" si="5"/>
        <v/>
      </c>
    </row>
    <row r="221" spans="1:4" x14ac:dyDescent="0.2">
      <c r="A221" s="37"/>
      <c r="B221" s="35"/>
      <c r="C221" s="105"/>
      <c r="D221" s="39" t="str">
        <f t="shared" si="5"/>
        <v/>
      </c>
    </row>
    <row r="222" spans="1:4" x14ac:dyDescent="0.2">
      <c r="A222" s="37"/>
      <c r="B222" s="35"/>
      <c r="C222" s="105"/>
      <c r="D222" s="39" t="str">
        <f t="shared" si="5"/>
        <v/>
      </c>
    </row>
    <row r="223" spans="1:4" x14ac:dyDescent="0.2">
      <c r="A223" s="37"/>
      <c r="B223" s="35"/>
      <c r="C223" s="105"/>
      <c r="D223" s="39" t="str">
        <f t="shared" si="5"/>
        <v/>
      </c>
    </row>
    <row r="224" spans="1:4" x14ac:dyDescent="0.2">
      <c r="A224" s="37"/>
      <c r="B224" s="35"/>
      <c r="C224" s="105"/>
      <c r="D224" s="39" t="str">
        <f t="shared" si="5"/>
        <v/>
      </c>
    </row>
    <row r="225" spans="1:4" x14ac:dyDescent="0.2">
      <c r="A225" s="37"/>
      <c r="B225" s="35"/>
      <c r="C225" s="105"/>
      <c r="D225" s="39" t="str">
        <f t="shared" si="5"/>
        <v/>
      </c>
    </row>
    <row r="226" spans="1:4" x14ac:dyDescent="0.2">
      <c r="A226" s="37"/>
      <c r="B226" s="35"/>
      <c r="C226" s="105"/>
      <c r="D226" s="39" t="str">
        <f t="shared" si="5"/>
        <v/>
      </c>
    </row>
    <row r="227" spans="1:4" x14ac:dyDescent="0.2">
      <c r="A227" s="37"/>
      <c r="B227" s="35"/>
      <c r="C227" s="105"/>
      <c r="D227" s="39" t="str">
        <f t="shared" si="5"/>
        <v/>
      </c>
    </row>
    <row r="228" spans="1:4" x14ac:dyDescent="0.2">
      <c r="A228" s="37"/>
      <c r="B228" s="35"/>
      <c r="C228" s="105"/>
      <c r="D228" s="39" t="str">
        <f t="shared" si="5"/>
        <v/>
      </c>
    </row>
    <row r="229" spans="1:4" x14ac:dyDescent="0.2">
      <c r="A229" s="37"/>
      <c r="B229" s="35"/>
      <c r="C229" s="105"/>
      <c r="D229" s="39" t="str">
        <f t="shared" si="5"/>
        <v/>
      </c>
    </row>
    <row r="230" spans="1:4" x14ac:dyDescent="0.2">
      <c r="A230" s="37"/>
      <c r="B230" s="35"/>
      <c r="C230" s="105"/>
      <c r="D230" s="39" t="str">
        <f t="shared" si="5"/>
        <v/>
      </c>
    </row>
    <row r="231" spans="1:4" x14ac:dyDescent="0.2">
      <c r="A231" s="37"/>
      <c r="B231" s="35"/>
      <c r="C231" s="105"/>
      <c r="D231" s="39" t="str">
        <f t="shared" si="5"/>
        <v/>
      </c>
    </row>
    <row r="232" spans="1:4" x14ac:dyDescent="0.2">
      <c r="A232" s="37"/>
      <c r="B232" s="35"/>
      <c r="C232" s="105"/>
      <c r="D232" s="39" t="str">
        <f t="shared" si="5"/>
        <v/>
      </c>
    </row>
    <row r="233" spans="1:4" x14ac:dyDescent="0.2">
      <c r="A233" s="37"/>
      <c r="B233" s="35"/>
      <c r="C233" s="105"/>
      <c r="D233" s="39" t="str">
        <f t="shared" si="5"/>
        <v/>
      </c>
    </row>
    <row r="234" spans="1:4" x14ac:dyDescent="0.2">
      <c r="A234" s="37"/>
      <c r="B234" s="35"/>
      <c r="C234" s="105"/>
      <c r="D234" s="39" t="str">
        <f t="shared" si="5"/>
        <v/>
      </c>
    </row>
    <row r="235" spans="1:4" x14ac:dyDescent="0.2">
      <c r="A235" s="37"/>
      <c r="B235" s="35"/>
      <c r="C235" s="105"/>
      <c r="D235" s="39" t="str">
        <f t="shared" si="5"/>
        <v/>
      </c>
    </row>
    <row r="236" spans="1:4" x14ac:dyDescent="0.2">
      <c r="A236" s="37"/>
      <c r="B236" s="35"/>
      <c r="C236" s="105"/>
      <c r="D236" s="39" t="str">
        <f t="shared" si="5"/>
        <v/>
      </c>
    </row>
    <row r="237" spans="1:4" x14ac:dyDescent="0.2">
      <c r="A237" s="37"/>
      <c r="B237" s="35"/>
      <c r="C237" s="105"/>
      <c r="D237" s="39" t="str">
        <f t="shared" si="5"/>
        <v/>
      </c>
    </row>
    <row r="238" spans="1:4" x14ac:dyDescent="0.2">
      <c r="A238" s="37"/>
      <c r="B238" s="35"/>
      <c r="C238" s="105"/>
      <c r="D238" s="39" t="str">
        <f t="shared" si="5"/>
        <v/>
      </c>
    </row>
    <row r="239" spans="1:4" x14ac:dyDescent="0.2">
      <c r="A239" s="37"/>
      <c r="B239" s="35"/>
      <c r="C239" s="105"/>
      <c r="D239" s="39" t="str">
        <f t="shared" si="5"/>
        <v/>
      </c>
    </row>
    <row r="240" spans="1:4" x14ac:dyDescent="0.2">
      <c r="A240" s="37"/>
      <c r="B240" s="35"/>
      <c r="C240" s="105"/>
      <c r="D240" s="39" t="str">
        <f t="shared" si="5"/>
        <v/>
      </c>
    </row>
    <row r="241" spans="1:4" x14ac:dyDescent="0.2">
      <c r="A241" s="37"/>
      <c r="B241" s="35"/>
      <c r="C241" s="105"/>
      <c r="D241" s="39" t="str">
        <f t="shared" si="5"/>
        <v/>
      </c>
    </row>
    <row r="242" spans="1:4" x14ac:dyDescent="0.2">
      <c r="A242" s="37"/>
      <c r="B242" s="35"/>
      <c r="C242" s="105"/>
      <c r="D242" s="39" t="str">
        <f t="shared" si="5"/>
        <v/>
      </c>
    </row>
    <row r="243" spans="1:4" x14ac:dyDescent="0.2">
      <c r="A243" s="37"/>
      <c r="B243" s="35"/>
      <c r="C243" s="105"/>
      <c r="D243" s="39" t="str">
        <f t="shared" si="5"/>
        <v/>
      </c>
    </row>
    <row r="244" spans="1:4" x14ac:dyDescent="0.2">
      <c r="A244" s="37"/>
      <c r="B244" s="35"/>
      <c r="C244" s="105"/>
      <c r="D244" s="39" t="str">
        <f t="shared" si="5"/>
        <v/>
      </c>
    </row>
    <row r="245" spans="1:4" x14ac:dyDescent="0.2">
      <c r="A245" s="37"/>
      <c r="B245" s="35"/>
      <c r="C245" s="105"/>
      <c r="D245" s="39" t="str">
        <f t="shared" si="5"/>
        <v/>
      </c>
    </row>
    <row r="246" spans="1:4" x14ac:dyDescent="0.2">
      <c r="A246" s="37"/>
      <c r="B246" s="35"/>
      <c r="C246" s="105"/>
      <c r="D246" s="39" t="str">
        <f t="shared" si="5"/>
        <v/>
      </c>
    </row>
    <row r="247" spans="1:4" x14ac:dyDescent="0.2">
      <c r="A247" s="37"/>
      <c r="B247" s="35"/>
      <c r="C247" s="105"/>
      <c r="D247" s="39" t="str">
        <f t="shared" si="5"/>
        <v/>
      </c>
    </row>
    <row r="248" spans="1:4" x14ac:dyDescent="0.2">
      <c r="A248" s="37"/>
      <c r="B248" s="35"/>
      <c r="C248" s="105"/>
      <c r="D248" s="39" t="str">
        <f t="shared" si="5"/>
        <v/>
      </c>
    </row>
    <row r="249" spans="1:4" x14ac:dyDescent="0.2">
      <c r="A249" s="37"/>
      <c r="B249" s="35"/>
      <c r="C249" s="105"/>
      <c r="D249" s="39" t="str">
        <f t="shared" si="5"/>
        <v/>
      </c>
    </row>
    <row r="250" spans="1:4" x14ac:dyDescent="0.2">
      <c r="A250" s="37"/>
      <c r="B250" s="35"/>
      <c r="C250" s="105"/>
      <c r="D250" s="39" t="str">
        <f t="shared" si="5"/>
        <v/>
      </c>
    </row>
    <row r="251" spans="1:4" x14ac:dyDescent="0.2">
      <c r="A251" s="37"/>
      <c r="B251" s="35"/>
      <c r="C251" s="105"/>
      <c r="D251" s="39" t="str">
        <f t="shared" si="5"/>
        <v/>
      </c>
    </row>
    <row r="252" spans="1:4" x14ac:dyDescent="0.2">
      <c r="A252" s="37"/>
      <c r="B252" s="35"/>
      <c r="C252" s="105"/>
      <c r="D252" s="39" t="str">
        <f t="shared" si="5"/>
        <v/>
      </c>
    </row>
    <row r="253" spans="1:4" x14ac:dyDescent="0.2">
      <c r="A253" s="37"/>
      <c r="B253" s="35"/>
      <c r="C253" s="105"/>
      <c r="D253" s="39" t="str">
        <f t="shared" si="5"/>
        <v/>
      </c>
    </row>
    <row r="254" spans="1:4" x14ac:dyDescent="0.2">
      <c r="A254" s="37"/>
      <c r="B254" s="35"/>
      <c r="C254" s="105"/>
      <c r="D254" s="39" t="str">
        <f t="shared" si="5"/>
        <v/>
      </c>
    </row>
    <row r="255" spans="1:4" x14ac:dyDescent="0.2">
      <c r="A255" s="37"/>
      <c r="B255" s="35"/>
      <c r="C255" s="105"/>
      <c r="D255" s="39" t="str">
        <f t="shared" si="5"/>
        <v/>
      </c>
    </row>
    <row r="256" spans="1:4" x14ac:dyDescent="0.2">
      <c r="A256" s="37"/>
      <c r="B256" s="35"/>
      <c r="C256" s="105"/>
      <c r="D256" s="39" t="str">
        <f t="shared" si="5"/>
        <v/>
      </c>
    </row>
    <row r="257" spans="1:4" x14ac:dyDescent="0.2">
      <c r="A257" s="37"/>
      <c r="B257" s="35"/>
      <c r="C257" s="105"/>
      <c r="D257" s="39" t="str">
        <f t="shared" si="5"/>
        <v/>
      </c>
    </row>
    <row r="258" spans="1:4" x14ac:dyDescent="0.2">
      <c r="A258" s="37"/>
      <c r="B258" s="35"/>
      <c r="C258" s="105"/>
      <c r="D258" s="39" t="str">
        <f t="shared" si="5"/>
        <v/>
      </c>
    </row>
    <row r="259" spans="1:4" x14ac:dyDescent="0.2">
      <c r="A259" s="37"/>
      <c r="B259" s="35"/>
      <c r="C259" s="105"/>
      <c r="D259" s="39" t="str">
        <f t="shared" si="5"/>
        <v/>
      </c>
    </row>
    <row r="260" spans="1:4" x14ac:dyDescent="0.2">
      <c r="A260" s="37"/>
      <c r="B260" s="35"/>
      <c r="C260" s="105"/>
      <c r="D260" s="39" t="str">
        <f t="shared" si="5"/>
        <v/>
      </c>
    </row>
    <row r="261" spans="1:4" x14ac:dyDescent="0.2">
      <c r="A261" s="37"/>
      <c r="B261" s="35"/>
      <c r="C261" s="105"/>
      <c r="D261" s="39" t="str">
        <f t="shared" si="5"/>
        <v/>
      </c>
    </row>
    <row r="262" spans="1:4" x14ac:dyDescent="0.2">
      <c r="A262" s="37"/>
      <c r="B262" s="35"/>
      <c r="C262" s="105"/>
      <c r="D262" s="39" t="str">
        <f t="shared" si="5"/>
        <v/>
      </c>
    </row>
    <row r="263" spans="1:4" x14ac:dyDescent="0.2">
      <c r="A263" s="37"/>
      <c r="B263" s="35"/>
      <c r="C263" s="105"/>
      <c r="D263" s="39" t="str">
        <f t="shared" si="5"/>
        <v/>
      </c>
    </row>
    <row r="264" spans="1:4" x14ac:dyDescent="0.2">
      <c r="A264" s="37"/>
      <c r="B264" s="35"/>
      <c r="C264" s="105"/>
      <c r="D264" s="39" t="str">
        <f t="shared" si="5"/>
        <v/>
      </c>
    </row>
    <row r="265" spans="1:4" x14ac:dyDescent="0.2">
      <c r="A265" s="37"/>
      <c r="B265" s="35"/>
      <c r="C265" s="105"/>
      <c r="D265" s="39" t="str">
        <f t="shared" si="5"/>
        <v/>
      </c>
    </row>
    <row r="266" spans="1:4" x14ac:dyDescent="0.2">
      <c r="A266" s="37"/>
      <c r="B266" s="35"/>
      <c r="C266" s="105"/>
      <c r="D266" s="39" t="str">
        <f t="shared" si="5"/>
        <v/>
      </c>
    </row>
    <row r="267" spans="1:4" x14ac:dyDescent="0.2">
      <c r="A267" s="37"/>
      <c r="B267" s="35"/>
      <c r="C267" s="105"/>
      <c r="D267" s="39" t="str">
        <f t="shared" si="5"/>
        <v/>
      </c>
    </row>
    <row r="268" spans="1:4" x14ac:dyDescent="0.2">
      <c r="A268" s="37"/>
      <c r="B268" s="35"/>
      <c r="C268" s="105"/>
      <c r="D268" s="39" t="str">
        <f t="shared" si="5"/>
        <v/>
      </c>
    </row>
    <row r="269" spans="1:4" x14ac:dyDescent="0.2">
      <c r="A269" s="37"/>
      <c r="B269" s="35"/>
      <c r="C269" s="105"/>
      <c r="D269" s="39" t="str">
        <f t="shared" si="5"/>
        <v/>
      </c>
    </row>
    <row r="270" spans="1:4" x14ac:dyDescent="0.2">
      <c r="A270" s="37"/>
      <c r="B270" s="35"/>
      <c r="C270" s="105"/>
      <c r="D270" s="39" t="str">
        <f t="shared" si="5"/>
        <v/>
      </c>
    </row>
    <row r="271" spans="1:4" x14ac:dyDescent="0.2">
      <c r="A271" s="37"/>
      <c r="B271" s="35"/>
      <c r="C271" s="105"/>
      <c r="D271" s="39" t="str">
        <f t="shared" si="5"/>
        <v/>
      </c>
    </row>
    <row r="272" spans="1:4" x14ac:dyDescent="0.2">
      <c r="A272" s="37"/>
      <c r="B272" s="35"/>
      <c r="C272" s="105"/>
      <c r="D272" s="39" t="str">
        <f t="shared" si="5"/>
        <v/>
      </c>
    </row>
    <row r="273" spans="1:4" x14ac:dyDescent="0.2">
      <c r="A273" s="37"/>
      <c r="B273" s="35"/>
      <c r="C273" s="105"/>
      <c r="D273" s="39" t="str">
        <f t="shared" si="5"/>
        <v/>
      </c>
    </row>
    <row r="274" spans="1:4" x14ac:dyDescent="0.2">
      <c r="A274" s="37"/>
      <c r="B274" s="35"/>
      <c r="C274" s="105"/>
      <c r="D274" s="39" t="str">
        <f t="shared" si="5"/>
        <v/>
      </c>
    </row>
    <row r="275" spans="1:4" x14ac:dyDescent="0.2">
      <c r="A275" s="37"/>
      <c r="B275" s="35"/>
      <c r="C275" s="105"/>
      <c r="D275" s="39" t="str">
        <f t="shared" si="5"/>
        <v/>
      </c>
    </row>
    <row r="276" spans="1:4" x14ac:dyDescent="0.2">
      <c r="A276" s="37"/>
      <c r="B276" s="35"/>
      <c r="C276" s="105"/>
      <c r="D276" s="39" t="str">
        <f t="shared" si="5"/>
        <v/>
      </c>
    </row>
    <row r="277" spans="1:4" x14ac:dyDescent="0.2">
      <c r="A277" s="37"/>
      <c r="B277" s="35"/>
      <c r="C277" s="105"/>
      <c r="D277" s="39" t="str">
        <f t="shared" si="5"/>
        <v/>
      </c>
    </row>
    <row r="278" spans="1:4" x14ac:dyDescent="0.2">
      <c r="A278" s="37"/>
      <c r="B278" s="35"/>
      <c r="C278" s="105"/>
      <c r="D278" s="39" t="str">
        <f t="shared" si="5"/>
        <v/>
      </c>
    </row>
    <row r="279" spans="1:4" x14ac:dyDescent="0.2">
      <c r="A279" s="37"/>
      <c r="B279" s="35"/>
      <c r="C279" s="105"/>
      <c r="D279" s="39" t="str">
        <f t="shared" si="5"/>
        <v/>
      </c>
    </row>
    <row r="280" spans="1:4" x14ac:dyDescent="0.2">
      <c r="A280" s="37"/>
      <c r="B280" s="35"/>
      <c r="C280" s="105"/>
      <c r="D280" s="39" t="str">
        <f t="shared" si="5"/>
        <v/>
      </c>
    </row>
    <row r="281" spans="1:4" x14ac:dyDescent="0.2">
      <c r="A281" s="37"/>
      <c r="B281" s="35"/>
      <c r="C281" s="105"/>
      <c r="D281" s="39" t="str">
        <f t="shared" si="5"/>
        <v/>
      </c>
    </row>
    <row r="282" spans="1:4" x14ac:dyDescent="0.2">
      <c r="A282" s="37"/>
      <c r="B282" s="35"/>
      <c r="C282" s="105"/>
      <c r="D282" s="39" t="str">
        <f t="shared" ref="D282:D345" si="6">IFERROR(IF(C282&lt;&gt;"",C282*70, ""), "")</f>
        <v/>
      </c>
    </row>
    <row r="283" spans="1:4" x14ac:dyDescent="0.2">
      <c r="A283" s="37"/>
      <c r="B283" s="35"/>
      <c r="C283" s="105"/>
      <c r="D283" s="39" t="str">
        <f t="shared" si="6"/>
        <v/>
      </c>
    </row>
    <row r="284" spans="1:4" x14ac:dyDescent="0.2">
      <c r="A284" s="37"/>
      <c r="B284" s="35"/>
      <c r="C284" s="105"/>
      <c r="D284" s="39" t="str">
        <f t="shared" si="6"/>
        <v/>
      </c>
    </row>
    <row r="285" spans="1:4" x14ac:dyDescent="0.2">
      <c r="A285" s="37"/>
      <c r="B285" s="35"/>
      <c r="C285" s="105"/>
      <c r="D285" s="39" t="str">
        <f t="shared" si="6"/>
        <v/>
      </c>
    </row>
    <row r="286" spans="1:4" x14ac:dyDescent="0.2">
      <c r="A286" s="37"/>
      <c r="B286" s="35"/>
      <c r="C286" s="105"/>
      <c r="D286" s="39" t="str">
        <f t="shared" si="6"/>
        <v/>
      </c>
    </row>
    <row r="287" spans="1:4" x14ac:dyDescent="0.2">
      <c r="A287" s="37"/>
      <c r="B287" s="35"/>
      <c r="C287" s="105"/>
      <c r="D287" s="39" t="str">
        <f t="shared" si="6"/>
        <v/>
      </c>
    </row>
    <row r="288" spans="1:4" x14ac:dyDescent="0.2">
      <c r="A288" s="37"/>
      <c r="B288" s="35"/>
      <c r="C288" s="105"/>
      <c r="D288" s="39" t="str">
        <f t="shared" si="6"/>
        <v/>
      </c>
    </row>
    <row r="289" spans="1:4" x14ac:dyDescent="0.2">
      <c r="A289" s="37"/>
      <c r="B289" s="35"/>
      <c r="C289" s="105"/>
      <c r="D289" s="39" t="str">
        <f t="shared" si="6"/>
        <v/>
      </c>
    </row>
    <row r="290" spans="1:4" x14ac:dyDescent="0.2">
      <c r="A290" s="37"/>
      <c r="B290" s="35"/>
      <c r="C290" s="105"/>
      <c r="D290" s="39" t="str">
        <f t="shared" si="6"/>
        <v/>
      </c>
    </row>
    <row r="291" spans="1:4" x14ac:dyDescent="0.2">
      <c r="A291" s="37"/>
      <c r="B291" s="35"/>
      <c r="C291" s="105"/>
      <c r="D291" s="39" t="str">
        <f t="shared" si="6"/>
        <v/>
      </c>
    </row>
    <row r="292" spans="1:4" x14ac:dyDescent="0.2">
      <c r="A292" s="37"/>
      <c r="B292" s="35"/>
      <c r="C292" s="105"/>
      <c r="D292" s="39" t="str">
        <f t="shared" si="6"/>
        <v/>
      </c>
    </row>
    <row r="293" spans="1:4" x14ac:dyDescent="0.2">
      <c r="A293" s="37"/>
      <c r="B293" s="35"/>
      <c r="C293" s="105"/>
      <c r="D293" s="39" t="str">
        <f t="shared" si="6"/>
        <v/>
      </c>
    </row>
    <row r="294" spans="1:4" x14ac:dyDescent="0.2">
      <c r="A294" s="37"/>
      <c r="B294" s="35"/>
      <c r="C294" s="105"/>
      <c r="D294" s="39" t="str">
        <f t="shared" si="6"/>
        <v/>
      </c>
    </row>
    <row r="295" spans="1:4" x14ac:dyDescent="0.2">
      <c r="A295" s="37"/>
      <c r="B295" s="35"/>
      <c r="C295" s="105"/>
      <c r="D295" s="39" t="str">
        <f t="shared" si="6"/>
        <v/>
      </c>
    </row>
    <row r="296" spans="1:4" x14ac:dyDescent="0.2">
      <c r="A296" s="37"/>
      <c r="B296" s="35"/>
      <c r="C296" s="105"/>
      <c r="D296" s="39" t="str">
        <f t="shared" si="6"/>
        <v/>
      </c>
    </row>
    <row r="297" spans="1:4" x14ac:dyDescent="0.2">
      <c r="A297" s="37"/>
      <c r="B297" s="35"/>
      <c r="C297" s="105"/>
      <c r="D297" s="39" t="str">
        <f t="shared" si="6"/>
        <v/>
      </c>
    </row>
    <row r="298" spans="1:4" x14ac:dyDescent="0.2">
      <c r="A298" s="37"/>
      <c r="B298" s="35"/>
      <c r="C298" s="105"/>
      <c r="D298" s="39" t="str">
        <f t="shared" si="6"/>
        <v/>
      </c>
    </row>
    <row r="299" spans="1:4" x14ac:dyDescent="0.2">
      <c r="A299" s="37"/>
      <c r="B299" s="35"/>
      <c r="C299" s="105"/>
      <c r="D299" s="39" t="str">
        <f t="shared" si="6"/>
        <v/>
      </c>
    </row>
    <row r="300" spans="1:4" x14ac:dyDescent="0.2">
      <c r="A300" s="37"/>
      <c r="B300" s="35"/>
      <c r="C300" s="105"/>
      <c r="D300" s="39" t="str">
        <f t="shared" si="6"/>
        <v/>
      </c>
    </row>
    <row r="301" spans="1:4" x14ac:dyDescent="0.2">
      <c r="A301" s="37"/>
      <c r="B301" s="35"/>
      <c r="C301" s="105"/>
      <c r="D301" s="39" t="str">
        <f t="shared" si="6"/>
        <v/>
      </c>
    </row>
    <row r="302" spans="1:4" x14ac:dyDescent="0.2">
      <c r="A302" s="37"/>
      <c r="B302" s="35"/>
      <c r="C302" s="105"/>
      <c r="D302" s="39" t="str">
        <f t="shared" si="6"/>
        <v/>
      </c>
    </row>
    <row r="303" spans="1:4" x14ac:dyDescent="0.2">
      <c r="A303" s="37"/>
      <c r="B303" s="35"/>
      <c r="C303" s="105"/>
      <c r="D303" s="39" t="str">
        <f t="shared" si="6"/>
        <v/>
      </c>
    </row>
    <row r="304" spans="1:4" x14ac:dyDescent="0.2">
      <c r="A304" s="37"/>
      <c r="B304" s="35"/>
      <c r="C304" s="105"/>
      <c r="D304" s="39" t="str">
        <f t="shared" si="6"/>
        <v/>
      </c>
    </row>
    <row r="305" spans="1:4" x14ac:dyDescent="0.2">
      <c r="A305" s="37"/>
      <c r="B305" s="35"/>
      <c r="C305" s="105"/>
      <c r="D305" s="39" t="str">
        <f t="shared" si="6"/>
        <v/>
      </c>
    </row>
    <row r="306" spans="1:4" x14ac:dyDescent="0.2">
      <c r="A306" s="37"/>
      <c r="B306" s="35"/>
      <c r="C306" s="105"/>
      <c r="D306" s="39" t="str">
        <f t="shared" si="6"/>
        <v/>
      </c>
    </row>
    <row r="307" spans="1:4" x14ac:dyDescent="0.2">
      <c r="A307" s="37"/>
      <c r="B307" s="35"/>
      <c r="C307" s="105"/>
      <c r="D307" s="39" t="str">
        <f t="shared" si="6"/>
        <v/>
      </c>
    </row>
    <row r="308" spans="1:4" x14ac:dyDescent="0.2">
      <c r="A308" s="37"/>
      <c r="B308" s="35"/>
      <c r="C308" s="105"/>
      <c r="D308" s="39" t="str">
        <f t="shared" si="6"/>
        <v/>
      </c>
    </row>
    <row r="309" spans="1:4" x14ac:dyDescent="0.2">
      <c r="A309" s="37"/>
      <c r="B309" s="35"/>
      <c r="C309" s="105"/>
      <c r="D309" s="39" t="str">
        <f t="shared" si="6"/>
        <v/>
      </c>
    </row>
    <row r="310" spans="1:4" x14ac:dyDescent="0.2">
      <c r="A310" s="37"/>
      <c r="B310" s="35"/>
      <c r="C310" s="105"/>
      <c r="D310" s="39" t="str">
        <f t="shared" si="6"/>
        <v/>
      </c>
    </row>
    <row r="311" spans="1:4" x14ac:dyDescent="0.2">
      <c r="A311" s="37"/>
      <c r="B311" s="35"/>
      <c r="C311" s="105"/>
      <c r="D311" s="39" t="str">
        <f t="shared" si="6"/>
        <v/>
      </c>
    </row>
    <row r="312" spans="1:4" x14ac:dyDescent="0.2">
      <c r="A312" s="37"/>
      <c r="B312" s="35"/>
      <c r="C312" s="105"/>
      <c r="D312" s="39" t="str">
        <f t="shared" si="6"/>
        <v/>
      </c>
    </row>
    <row r="313" spans="1:4" x14ac:dyDescent="0.2">
      <c r="A313" s="37"/>
      <c r="B313" s="35"/>
      <c r="C313" s="105"/>
      <c r="D313" s="39" t="str">
        <f t="shared" si="6"/>
        <v/>
      </c>
    </row>
    <row r="314" spans="1:4" x14ac:dyDescent="0.2">
      <c r="A314" s="37"/>
      <c r="B314" s="35"/>
      <c r="C314" s="105"/>
      <c r="D314" s="39" t="str">
        <f t="shared" si="6"/>
        <v/>
      </c>
    </row>
    <row r="315" spans="1:4" x14ac:dyDescent="0.2">
      <c r="A315" s="37"/>
      <c r="B315" s="35"/>
      <c r="C315" s="105"/>
      <c r="D315" s="39" t="str">
        <f t="shared" si="6"/>
        <v/>
      </c>
    </row>
    <row r="316" spans="1:4" x14ac:dyDescent="0.2">
      <c r="A316" s="37"/>
      <c r="B316" s="35"/>
      <c r="C316" s="105"/>
      <c r="D316" s="39" t="str">
        <f t="shared" si="6"/>
        <v/>
      </c>
    </row>
    <row r="317" spans="1:4" x14ac:dyDescent="0.2">
      <c r="A317" s="37"/>
      <c r="B317" s="35"/>
      <c r="C317" s="105"/>
      <c r="D317" s="39" t="str">
        <f t="shared" si="6"/>
        <v/>
      </c>
    </row>
    <row r="318" spans="1:4" x14ac:dyDescent="0.2">
      <c r="A318" s="37"/>
      <c r="B318" s="35"/>
      <c r="C318" s="105"/>
      <c r="D318" s="39" t="str">
        <f t="shared" si="6"/>
        <v/>
      </c>
    </row>
    <row r="319" spans="1:4" x14ac:dyDescent="0.2">
      <c r="A319" s="37"/>
      <c r="B319" s="35"/>
      <c r="C319" s="105"/>
      <c r="D319" s="39" t="str">
        <f t="shared" si="6"/>
        <v/>
      </c>
    </row>
    <row r="320" spans="1:4" x14ac:dyDescent="0.2">
      <c r="A320" s="37"/>
      <c r="B320" s="35"/>
      <c r="C320" s="105"/>
      <c r="D320" s="39" t="str">
        <f t="shared" si="6"/>
        <v/>
      </c>
    </row>
    <row r="321" spans="1:4" x14ac:dyDescent="0.2">
      <c r="A321" s="37"/>
      <c r="B321" s="35"/>
      <c r="C321" s="105"/>
      <c r="D321" s="39" t="str">
        <f t="shared" si="6"/>
        <v/>
      </c>
    </row>
    <row r="322" spans="1:4" x14ac:dyDescent="0.2">
      <c r="A322" s="37"/>
      <c r="B322" s="35"/>
      <c r="C322" s="105"/>
      <c r="D322" s="39" t="str">
        <f t="shared" si="6"/>
        <v/>
      </c>
    </row>
    <row r="323" spans="1:4" x14ac:dyDescent="0.2">
      <c r="A323" s="37"/>
      <c r="B323" s="35"/>
      <c r="C323" s="105"/>
      <c r="D323" s="39" t="str">
        <f t="shared" si="6"/>
        <v/>
      </c>
    </row>
    <row r="324" spans="1:4" x14ac:dyDescent="0.2">
      <c r="A324" s="37"/>
      <c r="B324" s="35"/>
      <c r="C324" s="105"/>
      <c r="D324" s="39" t="str">
        <f t="shared" si="6"/>
        <v/>
      </c>
    </row>
    <row r="325" spans="1:4" x14ac:dyDescent="0.2">
      <c r="A325" s="37"/>
      <c r="B325" s="35"/>
      <c r="C325" s="105"/>
      <c r="D325" s="39" t="str">
        <f t="shared" si="6"/>
        <v/>
      </c>
    </row>
    <row r="326" spans="1:4" x14ac:dyDescent="0.2">
      <c r="A326" s="37"/>
      <c r="B326" s="35"/>
      <c r="C326" s="105"/>
      <c r="D326" s="39" t="str">
        <f t="shared" si="6"/>
        <v/>
      </c>
    </row>
    <row r="327" spans="1:4" x14ac:dyDescent="0.2">
      <c r="A327" s="37"/>
      <c r="B327" s="35"/>
      <c r="C327" s="105"/>
      <c r="D327" s="39" t="str">
        <f t="shared" si="6"/>
        <v/>
      </c>
    </row>
    <row r="328" spans="1:4" x14ac:dyDescent="0.2">
      <c r="A328" s="37"/>
      <c r="B328" s="35"/>
      <c r="C328" s="105"/>
      <c r="D328" s="39" t="str">
        <f t="shared" si="6"/>
        <v/>
      </c>
    </row>
    <row r="329" spans="1:4" x14ac:dyDescent="0.2">
      <c r="A329" s="37"/>
      <c r="B329" s="35"/>
      <c r="C329" s="105"/>
      <c r="D329" s="39" t="str">
        <f t="shared" si="6"/>
        <v/>
      </c>
    </row>
    <row r="330" spans="1:4" x14ac:dyDescent="0.2">
      <c r="A330" s="37"/>
      <c r="B330" s="35"/>
      <c r="C330" s="105"/>
      <c r="D330" s="39" t="str">
        <f t="shared" si="6"/>
        <v/>
      </c>
    </row>
    <row r="331" spans="1:4" x14ac:dyDescent="0.2">
      <c r="A331" s="37"/>
      <c r="B331" s="35"/>
      <c r="C331" s="105"/>
      <c r="D331" s="39" t="str">
        <f t="shared" si="6"/>
        <v/>
      </c>
    </row>
    <row r="332" spans="1:4" x14ac:dyDescent="0.2">
      <c r="A332" s="37"/>
      <c r="B332" s="35"/>
      <c r="C332" s="105"/>
      <c r="D332" s="39" t="str">
        <f t="shared" si="6"/>
        <v/>
      </c>
    </row>
    <row r="333" spans="1:4" x14ac:dyDescent="0.2">
      <c r="A333" s="37"/>
      <c r="B333" s="35"/>
      <c r="C333" s="105"/>
      <c r="D333" s="39" t="str">
        <f t="shared" si="6"/>
        <v/>
      </c>
    </row>
    <row r="334" spans="1:4" x14ac:dyDescent="0.2">
      <c r="A334" s="37"/>
      <c r="B334" s="35"/>
      <c r="C334" s="105"/>
      <c r="D334" s="39" t="str">
        <f t="shared" si="6"/>
        <v/>
      </c>
    </row>
    <row r="335" spans="1:4" x14ac:dyDescent="0.2">
      <c r="A335" s="37"/>
      <c r="B335" s="35"/>
      <c r="C335" s="105"/>
      <c r="D335" s="39" t="str">
        <f t="shared" si="6"/>
        <v/>
      </c>
    </row>
    <row r="336" spans="1:4" x14ac:dyDescent="0.2">
      <c r="A336" s="37"/>
      <c r="B336" s="35"/>
      <c r="C336" s="105"/>
      <c r="D336" s="39" t="str">
        <f t="shared" si="6"/>
        <v/>
      </c>
    </row>
    <row r="337" spans="1:4" x14ac:dyDescent="0.2">
      <c r="A337" s="37"/>
      <c r="B337" s="35"/>
      <c r="C337" s="105"/>
      <c r="D337" s="39" t="str">
        <f t="shared" si="6"/>
        <v/>
      </c>
    </row>
    <row r="338" spans="1:4" x14ac:dyDescent="0.2">
      <c r="A338" s="37"/>
      <c r="B338" s="35"/>
      <c r="C338" s="105"/>
      <c r="D338" s="39" t="str">
        <f t="shared" si="6"/>
        <v/>
      </c>
    </row>
    <row r="339" spans="1:4" x14ac:dyDescent="0.2">
      <c r="A339" s="37"/>
      <c r="B339" s="35"/>
      <c r="C339" s="105"/>
      <c r="D339" s="39" t="str">
        <f t="shared" si="6"/>
        <v/>
      </c>
    </row>
    <row r="340" spans="1:4" x14ac:dyDescent="0.2">
      <c r="A340" s="37"/>
      <c r="B340" s="35"/>
      <c r="C340" s="105"/>
      <c r="D340" s="39" t="str">
        <f t="shared" si="6"/>
        <v/>
      </c>
    </row>
    <row r="341" spans="1:4" x14ac:dyDescent="0.2">
      <c r="A341" s="37"/>
      <c r="B341" s="35"/>
      <c r="C341" s="105"/>
      <c r="D341" s="39" t="str">
        <f t="shared" si="6"/>
        <v/>
      </c>
    </row>
    <row r="342" spans="1:4" x14ac:dyDescent="0.2">
      <c r="A342" s="37"/>
      <c r="B342" s="35"/>
      <c r="C342" s="105"/>
      <c r="D342" s="39" t="str">
        <f t="shared" si="6"/>
        <v/>
      </c>
    </row>
    <row r="343" spans="1:4" x14ac:dyDescent="0.2">
      <c r="A343" s="37"/>
      <c r="B343" s="35"/>
      <c r="C343" s="105"/>
      <c r="D343" s="39" t="str">
        <f t="shared" si="6"/>
        <v/>
      </c>
    </row>
    <row r="344" spans="1:4" x14ac:dyDescent="0.2">
      <c r="A344" s="37"/>
      <c r="B344" s="35"/>
      <c r="C344" s="105"/>
      <c r="D344" s="39" t="str">
        <f t="shared" si="6"/>
        <v/>
      </c>
    </row>
    <row r="345" spans="1:4" x14ac:dyDescent="0.2">
      <c r="A345" s="37"/>
      <c r="B345" s="35"/>
      <c r="C345" s="105"/>
      <c r="D345" s="39" t="str">
        <f t="shared" si="6"/>
        <v/>
      </c>
    </row>
    <row r="346" spans="1:4" x14ac:dyDescent="0.2">
      <c r="A346" s="37"/>
      <c r="B346" s="35"/>
      <c r="C346" s="105"/>
      <c r="D346" s="39" t="str">
        <f t="shared" ref="D346:D409" si="7">IFERROR(IF(C346&lt;&gt;"",C346*70, ""), "")</f>
        <v/>
      </c>
    </row>
    <row r="347" spans="1:4" x14ac:dyDescent="0.2">
      <c r="A347" s="37"/>
      <c r="B347" s="35"/>
      <c r="C347" s="105"/>
      <c r="D347" s="39" t="str">
        <f t="shared" si="7"/>
        <v/>
      </c>
    </row>
    <row r="348" spans="1:4" x14ac:dyDescent="0.2">
      <c r="A348" s="37"/>
      <c r="B348" s="35"/>
      <c r="C348" s="105"/>
      <c r="D348" s="39" t="str">
        <f t="shared" si="7"/>
        <v/>
      </c>
    </row>
    <row r="349" spans="1:4" x14ac:dyDescent="0.2">
      <c r="A349" s="37"/>
      <c r="B349" s="35"/>
      <c r="C349" s="105"/>
      <c r="D349" s="39" t="str">
        <f t="shared" si="7"/>
        <v/>
      </c>
    </row>
    <row r="350" spans="1:4" x14ac:dyDescent="0.2">
      <c r="A350" s="37"/>
      <c r="B350" s="35"/>
      <c r="C350" s="105"/>
      <c r="D350" s="39" t="str">
        <f t="shared" si="7"/>
        <v/>
      </c>
    </row>
    <row r="351" spans="1:4" x14ac:dyDescent="0.2">
      <c r="A351" s="37"/>
      <c r="B351" s="35"/>
      <c r="C351" s="105"/>
      <c r="D351" s="39" t="str">
        <f t="shared" si="7"/>
        <v/>
      </c>
    </row>
    <row r="352" spans="1:4" x14ac:dyDescent="0.2">
      <c r="A352" s="37"/>
      <c r="B352" s="35"/>
      <c r="C352" s="105"/>
      <c r="D352" s="39" t="str">
        <f t="shared" si="7"/>
        <v/>
      </c>
    </row>
    <row r="353" spans="1:4" x14ac:dyDescent="0.2">
      <c r="A353" s="37"/>
      <c r="B353" s="35"/>
      <c r="C353" s="105"/>
      <c r="D353" s="39" t="str">
        <f t="shared" si="7"/>
        <v/>
      </c>
    </row>
    <row r="354" spans="1:4" x14ac:dyDescent="0.2">
      <c r="A354" s="37"/>
      <c r="B354" s="35"/>
      <c r="C354" s="105"/>
      <c r="D354" s="39" t="str">
        <f t="shared" si="7"/>
        <v/>
      </c>
    </row>
    <row r="355" spans="1:4" x14ac:dyDescent="0.2">
      <c r="A355" s="37"/>
      <c r="B355" s="35"/>
      <c r="C355" s="105"/>
      <c r="D355" s="39" t="str">
        <f t="shared" si="7"/>
        <v/>
      </c>
    </row>
    <row r="356" spans="1:4" x14ac:dyDescent="0.2">
      <c r="A356" s="37"/>
      <c r="B356" s="35"/>
      <c r="C356" s="105"/>
      <c r="D356" s="39" t="str">
        <f t="shared" si="7"/>
        <v/>
      </c>
    </row>
    <row r="357" spans="1:4" x14ac:dyDescent="0.2">
      <c r="A357" s="37"/>
      <c r="B357" s="35"/>
      <c r="C357" s="105"/>
      <c r="D357" s="39" t="str">
        <f t="shared" si="7"/>
        <v/>
      </c>
    </row>
    <row r="358" spans="1:4" x14ac:dyDescent="0.2">
      <c r="A358" s="37"/>
      <c r="B358" s="35"/>
      <c r="C358" s="105"/>
      <c r="D358" s="39" t="str">
        <f t="shared" si="7"/>
        <v/>
      </c>
    </row>
    <row r="359" spans="1:4" x14ac:dyDescent="0.2">
      <c r="A359" s="37"/>
      <c r="B359" s="35"/>
      <c r="C359" s="105"/>
      <c r="D359" s="39" t="str">
        <f t="shared" si="7"/>
        <v/>
      </c>
    </row>
    <row r="360" spans="1:4" x14ac:dyDescent="0.2">
      <c r="A360" s="37"/>
      <c r="B360" s="35"/>
      <c r="C360" s="105"/>
      <c r="D360" s="39" t="str">
        <f t="shared" si="7"/>
        <v/>
      </c>
    </row>
    <row r="361" spans="1:4" x14ac:dyDescent="0.2">
      <c r="A361" s="37"/>
      <c r="B361" s="35"/>
      <c r="C361" s="105"/>
      <c r="D361" s="39" t="str">
        <f t="shared" si="7"/>
        <v/>
      </c>
    </row>
    <row r="362" spans="1:4" x14ac:dyDescent="0.2">
      <c r="A362" s="37"/>
      <c r="B362" s="35"/>
      <c r="C362" s="105"/>
      <c r="D362" s="39" t="str">
        <f t="shared" si="7"/>
        <v/>
      </c>
    </row>
    <row r="363" spans="1:4" x14ac:dyDescent="0.2">
      <c r="A363" s="37"/>
      <c r="B363" s="35"/>
      <c r="C363" s="105"/>
      <c r="D363" s="39" t="str">
        <f t="shared" si="7"/>
        <v/>
      </c>
    </row>
    <row r="364" spans="1:4" x14ac:dyDescent="0.2">
      <c r="A364" s="37"/>
      <c r="B364" s="35"/>
      <c r="C364" s="105"/>
      <c r="D364" s="39" t="str">
        <f t="shared" si="7"/>
        <v/>
      </c>
    </row>
    <row r="365" spans="1:4" x14ac:dyDescent="0.2">
      <c r="A365" s="37"/>
      <c r="B365" s="35"/>
      <c r="C365" s="105"/>
      <c r="D365" s="39" t="str">
        <f t="shared" si="7"/>
        <v/>
      </c>
    </row>
    <row r="366" spans="1:4" x14ac:dyDescent="0.2">
      <c r="A366" s="37"/>
      <c r="B366" s="35"/>
      <c r="C366" s="105"/>
      <c r="D366" s="39" t="str">
        <f t="shared" si="7"/>
        <v/>
      </c>
    </row>
    <row r="367" spans="1:4" x14ac:dyDescent="0.2">
      <c r="A367" s="37"/>
      <c r="B367" s="35"/>
      <c r="C367" s="105"/>
      <c r="D367" s="39" t="str">
        <f t="shared" si="7"/>
        <v/>
      </c>
    </row>
    <row r="368" spans="1:4" x14ac:dyDescent="0.2">
      <c r="A368" s="37"/>
      <c r="B368" s="35"/>
      <c r="C368" s="105"/>
      <c r="D368" s="39" t="str">
        <f t="shared" si="7"/>
        <v/>
      </c>
    </row>
    <row r="369" spans="1:4" x14ac:dyDescent="0.2">
      <c r="A369" s="37"/>
      <c r="B369" s="35"/>
      <c r="C369" s="105"/>
      <c r="D369" s="39" t="str">
        <f t="shared" si="7"/>
        <v/>
      </c>
    </row>
    <row r="370" spans="1:4" x14ac:dyDescent="0.2">
      <c r="A370" s="37"/>
      <c r="B370" s="35"/>
      <c r="C370" s="105"/>
      <c r="D370" s="39" t="str">
        <f t="shared" si="7"/>
        <v/>
      </c>
    </row>
    <row r="371" spans="1:4" x14ac:dyDescent="0.2">
      <c r="A371" s="37"/>
      <c r="B371" s="35"/>
      <c r="C371" s="105"/>
      <c r="D371" s="39" t="str">
        <f t="shared" si="7"/>
        <v/>
      </c>
    </row>
    <row r="372" spans="1:4" x14ac:dyDescent="0.2">
      <c r="A372" s="37"/>
      <c r="B372" s="35"/>
      <c r="C372" s="105"/>
      <c r="D372" s="39" t="str">
        <f t="shared" si="7"/>
        <v/>
      </c>
    </row>
    <row r="373" spans="1:4" x14ac:dyDescent="0.2">
      <c r="A373" s="37"/>
      <c r="B373" s="35"/>
      <c r="C373" s="105"/>
      <c r="D373" s="39" t="str">
        <f t="shared" si="7"/>
        <v/>
      </c>
    </row>
    <row r="374" spans="1:4" x14ac:dyDescent="0.2">
      <c r="A374" s="37"/>
      <c r="B374" s="35"/>
      <c r="C374" s="105"/>
      <c r="D374" s="39" t="str">
        <f t="shared" si="7"/>
        <v/>
      </c>
    </row>
    <row r="375" spans="1:4" x14ac:dyDescent="0.2">
      <c r="A375" s="37"/>
      <c r="B375" s="35"/>
      <c r="C375" s="105"/>
      <c r="D375" s="39" t="str">
        <f t="shared" si="7"/>
        <v/>
      </c>
    </row>
    <row r="376" spans="1:4" x14ac:dyDescent="0.2">
      <c r="A376" s="37"/>
      <c r="B376" s="35"/>
      <c r="C376" s="105"/>
      <c r="D376" s="39" t="str">
        <f t="shared" si="7"/>
        <v/>
      </c>
    </row>
    <row r="377" spans="1:4" x14ac:dyDescent="0.2">
      <c r="A377" s="37"/>
      <c r="B377" s="35"/>
      <c r="C377" s="105"/>
      <c r="D377" s="39" t="str">
        <f t="shared" si="7"/>
        <v/>
      </c>
    </row>
    <row r="378" spans="1:4" x14ac:dyDescent="0.2">
      <c r="A378" s="37"/>
      <c r="B378" s="35"/>
      <c r="C378" s="105"/>
      <c r="D378" s="39" t="str">
        <f t="shared" si="7"/>
        <v/>
      </c>
    </row>
    <row r="379" spans="1:4" x14ac:dyDescent="0.2">
      <c r="A379" s="37"/>
      <c r="B379" s="35"/>
      <c r="C379" s="105"/>
      <c r="D379" s="39" t="str">
        <f t="shared" si="7"/>
        <v/>
      </c>
    </row>
    <row r="380" spans="1:4" x14ac:dyDescent="0.2">
      <c r="A380" s="37"/>
      <c r="B380" s="35"/>
      <c r="C380" s="105"/>
      <c r="D380" s="39" t="str">
        <f t="shared" si="7"/>
        <v/>
      </c>
    </row>
    <row r="381" spans="1:4" x14ac:dyDescent="0.2">
      <c r="A381" s="37"/>
      <c r="B381" s="35"/>
      <c r="C381" s="105"/>
      <c r="D381" s="39" t="str">
        <f t="shared" si="7"/>
        <v/>
      </c>
    </row>
    <row r="382" spans="1:4" x14ac:dyDescent="0.2">
      <c r="A382" s="37"/>
      <c r="B382" s="35"/>
      <c r="C382" s="105"/>
      <c r="D382" s="39" t="str">
        <f t="shared" si="7"/>
        <v/>
      </c>
    </row>
    <row r="383" spans="1:4" x14ac:dyDescent="0.2">
      <c r="A383" s="37"/>
      <c r="B383" s="35"/>
      <c r="C383" s="105"/>
      <c r="D383" s="39" t="str">
        <f t="shared" si="7"/>
        <v/>
      </c>
    </row>
    <row r="384" spans="1:4" x14ac:dyDescent="0.2">
      <c r="A384" s="37"/>
      <c r="B384" s="35"/>
      <c r="C384" s="105"/>
      <c r="D384" s="39" t="str">
        <f t="shared" si="7"/>
        <v/>
      </c>
    </row>
    <row r="385" spans="1:4" x14ac:dyDescent="0.2">
      <c r="A385" s="37"/>
      <c r="B385" s="35"/>
      <c r="C385" s="105"/>
      <c r="D385" s="39" t="str">
        <f t="shared" si="7"/>
        <v/>
      </c>
    </row>
    <row r="386" spans="1:4" x14ac:dyDescent="0.2">
      <c r="A386" s="37"/>
      <c r="B386" s="35"/>
      <c r="C386" s="105"/>
      <c r="D386" s="39" t="str">
        <f t="shared" si="7"/>
        <v/>
      </c>
    </row>
    <row r="387" spans="1:4" x14ac:dyDescent="0.2">
      <c r="A387" s="37"/>
      <c r="B387" s="35"/>
      <c r="C387" s="105"/>
      <c r="D387" s="39" t="str">
        <f t="shared" si="7"/>
        <v/>
      </c>
    </row>
    <row r="388" spans="1:4" x14ac:dyDescent="0.2">
      <c r="A388" s="37"/>
      <c r="B388" s="35"/>
      <c r="C388" s="105"/>
      <c r="D388" s="39" t="str">
        <f t="shared" si="7"/>
        <v/>
      </c>
    </row>
    <row r="389" spans="1:4" x14ac:dyDescent="0.2">
      <c r="A389" s="37"/>
      <c r="B389" s="35"/>
      <c r="C389" s="105"/>
      <c r="D389" s="39" t="str">
        <f t="shared" si="7"/>
        <v/>
      </c>
    </row>
    <row r="390" spans="1:4" x14ac:dyDescent="0.2">
      <c r="A390" s="37"/>
      <c r="B390" s="35"/>
      <c r="C390" s="105"/>
      <c r="D390" s="39" t="str">
        <f t="shared" si="7"/>
        <v/>
      </c>
    </row>
    <row r="391" spans="1:4" x14ac:dyDescent="0.2">
      <c r="A391" s="37"/>
      <c r="B391" s="35"/>
      <c r="C391" s="105"/>
      <c r="D391" s="39" t="str">
        <f t="shared" si="7"/>
        <v/>
      </c>
    </row>
    <row r="392" spans="1:4" x14ac:dyDescent="0.2">
      <c r="A392" s="37"/>
      <c r="B392" s="35"/>
      <c r="C392" s="105"/>
      <c r="D392" s="39" t="str">
        <f t="shared" si="7"/>
        <v/>
      </c>
    </row>
    <row r="393" spans="1:4" x14ac:dyDescent="0.2">
      <c r="A393" s="37"/>
      <c r="B393" s="35"/>
      <c r="C393" s="105"/>
      <c r="D393" s="39" t="str">
        <f t="shared" si="7"/>
        <v/>
      </c>
    </row>
    <row r="394" spans="1:4" x14ac:dyDescent="0.2">
      <c r="A394" s="37"/>
      <c r="B394" s="35"/>
      <c r="C394" s="105"/>
      <c r="D394" s="39" t="str">
        <f t="shared" si="7"/>
        <v/>
      </c>
    </row>
    <row r="395" spans="1:4" x14ac:dyDescent="0.2">
      <c r="A395" s="37"/>
      <c r="B395" s="35"/>
      <c r="C395" s="105"/>
      <c r="D395" s="39" t="str">
        <f t="shared" si="7"/>
        <v/>
      </c>
    </row>
    <row r="396" spans="1:4" x14ac:dyDescent="0.2">
      <c r="A396" s="37"/>
      <c r="B396" s="35"/>
      <c r="C396" s="105"/>
      <c r="D396" s="39" t="str">
        <f t="shared" si="7"/>
        <v/>
      </c>
    </row>
    <row r="397" spans="1:4" x14ac:dyDescent="0.2">
      <c r="A397" s="37"/>
      <c r="B397" s="35"/>
      <c r="C397" s="105"/>
      <c r="D397" s="39" t="str">
        <f t="shared" si="7"/>
        <v/>
      </c>
    </row>
    <row r="398" spans="1:4" x14ac:dyDescent="0.2">
      <c r="A398" s="37"/>
      <c r="B398" s="35"/>
      <c r="C398" s="105"/>
      <c r="D398" s="39" t="str">
        <f t="shared" si="7"/>
        <v/>
      </c>
    </row>
    <row r="399" spans="1:4" x14ac:dyDescent="0.2">
      <c r="A399" s="37"/>
      <c r="B399" s="35"/>
      <c r="C399" s="105"/>
      <c r="D399" s="39" t="str">
        <f t="shared" si="7"/>
        <v/>
      </c>
    </row>
    <row r="400" spans="1:4" x14ac:dyDescent="0.2">
      <c r="A400" s="37"/>
      <c r="B400" s="35"/>
      <c r="C400" s="105"/>
      <c r="D400" s="39" t="str">
        <f t="shared" si="7"/>
        <v/>
      </c>
    </row>
    <row r="401" spans="1:4" x14ac:dyDescent="0.2">
      <c r="A401" s="37"/>
      <c r="B401" s="35"/>
      <c r="C401" s="105"/>
      <c r="D401" s="39" t="str">
        <f t="shared" si="7"/>
        <v/>
      </c>
    </row>
    <row r="402" spans="1:4" x14ac:dyDescent="0.2">
      <c r="A402" s="37"/>
      <c r="B402" s="35"/>
      <c r="C402" s="105"/>
      <c r="D402" s="39" t="str">
        <f t="shared" si="7"/>
        <v/>
      </c>
    </row>
    <row r="403" spans="1:4" x14ac:dyDescent="0.2">
      <c r="A403" s="37"/>
      <c r="B403" s="35"/>
      <c r="C403" s="105"/>
      <c r="D403" s="39" t="str">
        <f t="shared" si="7"/>
        <v/>
      </c>
    </row>
    <row r="404" spans="1:4" x14ac:dyDescent="0.2">
      <c r="A404" s="37"/>
      <c r="B404" s="35"/>
      <c r="C404" s="105"/>
      <c r="D404" s="39" t="str">
        <f t="shared" si="7"/>
        <v/>
      </c>
    </row>
    <row r="405" spans="1:4" x14ac:dyDescent="0.2">
      <c r="A405" s="37"/>
      <c r="B405" s="35"/>
      <c r="C405" s="105"/>
      <c r="D405" s="39" t="str">
        <f t="shared" si="7"/>
        <v/>
      </c>
    </row>
    <row r="406" spans="1:4" x14ac:dyDescent="0.2">
      <c r="A406" s="37"/>
      <c r="B406" s="35"/>
      <c r="C406" s="105"/>
      <c r="D406" s="39" t="str">
        <f t="shared" si="7"/>
        <v/>
      </c>
    </row>
    <row r="407" spans="1:4" x14ac:dyDescent="0.2">
      <c r="A407" s="37"/>
      <c r="B407" s="35"/>
      <c r="C407" s="105"/>
      <c r="D407" s="39" t="str">
        <f t="shared" si="7"/>
        <v/>
      </c>
    </row>
    <row r="408" spans="1:4" x14ac:dyDescent="0.2">
      <c r="A408" s="37"/>
      <c r="B408" s="35"/>
      <c r="C408" s="105"/>
      <c r="D408" s="39" t="str">
        <f t="shared" si="7"/>
        <v/>
      </c>
    </row>
    <row r="409" spans="1:4" x14ac:dyDescent="0.2">
      <c r="A409" s="37"/>
      <c r="B409" s="35"/>
      <c r="C409" s="105"/>
      <c r="D409" s="39" t="str">
        <f t="shared" si="7"/>
        <v/>
      </c>
    </row>
    <row r="410" spans="1:4" x14ac:dyDescent="0.2">
      <c r="A410" s="37"/>
      <c r="B410" s="35"/>
      <c r="C410" s="105"/>
      <c r="D410" s="39" t="str">
        <f t="shared" ref="D410:D473" si="8">IFERROR(IF(C410&lt;&gt;"",C410*70, ""), "")</f>
        <v/>
      </c>
    </row>
    <row r="411" spans="1:4" x14ac:dyDescent="0.2">
      <c r="A411" s="37"/>
      <c r="B411" s="35"/>
      <c r="C411" s="105"/>
      <c r="D411" s="39" t="str">
        <f t="shared" si="8"/>
        <v/>
      </c>
    </row>
    <row r="412" spans="1:4" x14ac:dyDescent="0.2">
      <c r="A412" s="37"/>
      <c r="B412" s="35"/>
      <c r="C412" s="105"/>
      <c r="D412" s="39" t="str">
        <f t="shared" si="8"/>
        <v/>
      </c>
    </row>
    <row r="413" spans="1:4" x14ac:dyDescent="0.2">
      <c r="A413" s="37"/>
      <c r="B413" s="35"/>
      <c r="C413" s="105"/>
      <c r="D413" s="39" t="str">
        <f t="shared" si="8"/>
        <v/>
      </c>
    </row>
    <row r="414" spans="1:4" x14ac:dyDescent="0.2">
      <c r="A414" s="37"/>
      <c r="B414" s="35"/>
      <c r="C414" s="105"/>
      <c r="D414" s="39" t="str">
        <f t="shared" si="8"/>
        <v/>
      </c>
    </row>
    <row r="415" spans="1:4" x14ac:dyDescent="0.2">
      <c r="A415" s="37"/>
      <c r="B415" s="35"/>
      <c r="C415" s="105"/>
      <c r="D415" s="39" t="str">
        <f t="shared" si="8"/>
        <v/>
      </c>
    </row>
    <row r="416" spans="1:4" x14ac:dyDescent="0.2">
      <c r="A416" s="37"/>
      <c r="B416" s="35"/>
      <c r="C416" s="105"/>
      <c r="D416" s="39" t="str">
        <f t="shared" si="8"/>
        <v/>
      </c>
    </row>
    <row r="417" spans="1:4" x14ac:dyDescent="0.2">
      <c r="A417" s="37"/>
      <c r="B417" s="35"/>
      <c r="C417" s="105"/>
      <c r="D417" s="39" t="str">
        <f t="shared" si="8"/>
        <v/>
      </c>
    </row>
    <row r="418" spans="1:4" x14ac:dyDescent="0.2">
      <c r="A418" s="37"/>
      <c r="B418" s="35"/>
      <c r="C418" s="105"/>
      <c r="D418" s="39" t="str">
        <f t="shared" si="8"/>
        <v/>
      </c>
    </row>
    <row r="419" spans="1:4" x14ac:dyDescent="0.2">
      <c r="A419" s="37"/>
      <c r="B419" s="35"/>
      <c r="C419" s="105"/>
      <c r="D419" s="39" t="str">
        <f t="shared" si="8"/>
        <v/>
      </c>
    </row>
    <row r="420" spans="1:4" x14ac:dyDescent="0.2">
      <c r="A420" s="37"/>
      <c r="B420" s="35"/>
      <c r="C420" s="105"/>
      <c r="D420" s="39" t="str">
        <f t="shared" si="8"/>
        <v/>
      </c>
    </row>
    <row r="421" spans="1:4" x14ac:dyDescent="0.2">
      <c r="A421" s="37"/>
      <c r="B421" s="35"/>
      <c r="C421" s="105"/>
      <c r="D421" s="39" t="str">
        <f t="shared" si="8"/>
        <v/>
      </c>
    </row>
    <row r="422" spans="1:4" x14ac:dyDescent="0.2">
      <c r="A422" s="37"/>
      <c r="B422" s="35"/>
      <c r="C422" s="105"/>
      <c r="D422" s="39" t="str">
        <f t="shared" si="8"/>
        <v/>
      </c>
    </row>
    <row r="423" spans="1:4" x14ac:dyDescent="0.2">
      <c r="A423" s="37"/>
      <c r="B423" s="35"/>
      <c r="C423" s="105"/>
      <c r="D423" s="39" t="str">
        <f t="shared" si="8"/>
        <v/>
      </c>
    </row>
    <row r="424" spans="1:4" x14ac:dyDescent="0.2">
      <c r="A424" s="37"/>
      <c r="B424" s="35"/>
      <c r="C424" s="105"/>
      <c r="D424" s="39" t="str">
        <f t="shared" si="8"/>
        <v/>
      </c>
    </row>
    <row r="425" spans="1:4" x14ac:dyDescent="0.2">
      <c r="A425" s="37"/>
      <c r="B425" s="35"/>
      <c r="C425" s="105"/>
      <c r="D425" s="39" t="str">
        <f t="shared" si="8"/>
        <v/>
      </c>
    </row>
    <row r="426" spans="1:4" x14ac:dyDescent="0.2">
      <c r="A426" s="37"/>
      <c r="B426" s="35"/>
      <c r="C426" s="105"/>
      <c r="D426" s="39" t="str">
        <f t="shared" si="8"/>
        <v/>
      </c>
    </row>
    <row r="427" spans="1:4" x14ac:dyDescent="0.2">
      <c r="A427" s="37"/>
      <c r="B427" s="35"/>
      <c r="C427" s="105"/>
      <c r="D427" s="39" t="str">
        <f t="shared" si="8"/>
        <v/>
      </c>
    </row>
    <row r="428" spans="1:4" x14ac:dyDescent="0.2">
      <c r="A428" s="37"/>
      <c r="B428" s="35"/>
      <c r="C428" s="105"/>
      <c r="D428" s="39" t="str">
        <f t="shared" si="8"/>
        <v/>
      </c>
    </row>
    <row r="429" spans="1:4" x14ac:dyDescent="0.2">
      <c r="A429" s="37"/>
      <c r="B429" s="35"/>
      <c r="C429" s="105"/>
      <c r="D429" s="39" t="str">
        <f t="shared" si="8"/>
        <v/>
      </c>
    </row>
    <row r="430" spans="1:4" x14ac:dyDescent="0.2">
      <c r="A430" s="37"/>
      <c r="B430" s="35"/>
      <c r="C430" s="105"/>
      <c r="D430" s="39" t="str">
        <f t="shared" si="8"/>
        <v/>
      </c>
    </row>
    <row r="431" spans="1:4" x14ac:dyDescent="0.2">
      <c r="A431" s="37"/>
      <c r="B431" s="35"/>
      <c r="C431" s="105"/>
      <c r="D431" s="39" t="str">
        <f t="shared" si="8"/>
        <v/>
      </c>
    </row>
    <row r="432" spans="1:4" x14ac:dyDescent="0.2">
      <c r="A432" s="37"/>
      <c r="B432" s="35"/>
      <c r="C432" s="105"/>
      <c r="D432" s="39" t="str">
        <f t="shared" si="8"/>
        <v/>
      </c>
    </row>
    <row r="433" spans="1:4" x14ac:dyDescent="0.2">
      <c r="A433" s="37"/>
      <c r="B433" s="35"/>
      <c r="C433" s="105"/>
      <c r="D433" s="39" t="str">
        <f t="shared" si="8"/>
        <v/>
      </c>
    </row>
    <row r="434" spans="1:4" x14ac:dyDescent="0.2">
      <c r="A434" s="37"/>
      <c r="B434" s="35"/>
      <c r="C434" s="105"/>
      <c r="D434" s="39" t="str">
        <f t="shared" si="8"/>
        <v/>
      </c>
    </row>
    <row r="435" spans="1:4" x14ac:dyDescent="0.2">
      <c r="A435" s="37"/>
      <c r="B435" s="35"/>
      <c r="C435" s="105"/>
      <c r="D435" s="39" t="str">
        <f t="shared" si="8"/>
        <v/>
      </c>
    </row>
    <row r="436" spans="1:4" x14ac:dyDescent="0.2">
      <c r="A436" s="37"/>
      <c r="B436" s="35"/>
      <c r="C436" s="105"/>
      <c r="D436" s="39" t="str">
        <f t="shared" si="8"/>
        <v/>
      </c>
    </row>
    <row r="437" spans="1:4" x14ac:dyDescent="0.2">
      <c r="A437" s="37"/>
      <c r="B437" s="35"/>
      <c r="C437" s="105"/>
      <c r="D437" s="39" t="str">
        <f t="shared" si="8"/>
        <v/>
      </c>
    </row>
    <row r="438" spans="1:4" x14ac:dyDescent="0.2">
      <c r="A438" s="37"/>
      <c r="B438" s="35"/>
      <c r="C438" s="105"/>
      <c r="D438" s="39" t="str">
        <f t="shared" si="8"/>
        <v/>
      </c>
    </row>
    <row r="439" spans="1:4" x14ac:dyDescent="0.2">
      <c r="A439" s="37"/>
      <c r="B439" s="35"/>
      <c r="C439" s="105"/>
      <c r="D439" s="39" t="str">
        <f t="shared" si="8"/>
        <v/>
      </c>
    </row>
    <row r="440" spans="1:4" x14ac:dyDescent="0.2">
      <c r="A440" s="37"/>
      <c r="B440" s="35"/>
      <c r="C440" s="105"/>
      <c r="D440" s="39" t="str">
        <f t="shared" si="8"/>
        <v/>
      </c>
    </row>
    <row r="441" spans="1:4" x14ac:dyDescent="0.2">
      <c r="A441" s="37"/>
      <c r="B441" s="35"/>
      <c r="C441" s="105"/>
      <c r="D441" s="39" t="str">
        <f t="shared" si="8"/>
        <v/>
      </c>
    </row>
    <row r="442" spans="1:4" x14ac:dyDescent="0.2">
      <c r="A442" s="37"/>
      <c r="B442" s="35"/>
      <c r="C442" s="105"/>
      <c r="D442" s="39" t="str">
        <f t="shared" si="8"/>
        <v/>
      </c>
    </row>
    <row r="443" spans="1:4" x14ac:dyDescent="0.2">
      <c r="A443" s="37"/>
      <c r="B443" s="35"/>
      <c r="C443" s="105"/>
      <c r="D443" s="39" t="str">
        <f t="shared" si="8"/>
        <v/>
      </c>
    </row>
    <row r="444" spans="1:4" x14ac:dyDescent="0.2">
      <c r="A444" s="37"/>
      <c r="B444" s="35"/>
      <c r="C444" s="105"/>
      <c r="D444" s="39" t="str">
        <f t="shared" si="8"/>
        <v/>
      </c>
    </row>
    <row r="445" spans="1:4" x14ac:dyDescent="0.2">
      <c r="A445" s="37"/>
      <c r="B445" s="35"/>
      <c r="C445" s="105"/>
      <c r="D445" s="39" t="str">
        <f t="shared" si="8"/>
        <v/>
      </c>
    </row>
    <row r="446" spans="1:4" x14ac:dyDescent="0.2">
      <c r="A446" s="37"/>
      <c r="B446" s="35"/>
      <c r="C446" s="105"/>
      <c r="D446" s="39" t="str">
        <f t="shared" si="8"/>
        <v/>
      </c>
    </row>
    <row r="447" spans="1:4" x14ac:dyDescent="0.2">
      <c r="A447" s="37"/>
      <c r="B447" s="35"/>
      <c r="C447" s="105"/>
      <c r="D447" s="39" t="str">
        <f t="shared" si="8"/>
        <v/>
      </c>
    </row>
    <row r="448" spans="1:4" x14ac:dyDescent="0.2">
      <c r="A448" s="37"/>
      <c r="B448" s="35"/>
      <c r="C448" s="105"/>
      <c r="D448" s="39" t="str">
        <f t="shared" si="8"/>
        <v/>
      </c>
    </row>
    <row r="449" spans="1:4" x14ac:dyDescent="0.2">
      <c r="A449" s="37"/>
      <c r="B449" s="35"/>
      <c r="C449" s="105"/>
      <c r="D449" s="39" t="str">
        <f t="shared" si="8"/>
        <v/>
      </c>
    </row>
    <row r="450" spans="1:4" x14ac:dyDescent="0.2">
      <c r="A450" s="37"/>
      <c r="B450" s="35"/>
      <c r="C450" s="105"/>
      <c r="D450" s="39" t="str">
        <f t="shared" si="8"/>
        <v/>
      </c>
    </row>
    <row r="451" spans="1:4" x14ac:dyDescent="0.2">
      <c r="A451" s="37"/>
      <c r="B451" s="35"/>
      <c r="C451" s="105"/>
      <c r="D451" s="39" t="str">
        <f t="shared" si="8"/>
        <v/>
      </c>
    </row>
    <row r="452" spans="1:4" x14ac:dyDescent="0.2">
      <c r="A452" s="37"/>
      <c r="B452" s="35"/>
      <c r="C452" s="105"/>
      <c r="D452" s="39" t="str">
        <f t="shared" si="8"/>
        <v/>
      </c>
    </row>
    <row r="453" spans="1:4" x14ac:dyDescent="0.2">
      <c r="A453" s="37"/>
      <c r="B453" s="35"/>
      <c r="C453" s="105"/>
      <c r="D453" s="39" t="str">
        <f t="shared" si="8"/>
        <v/>
      </c>
    </row>
    <row r="454" spans="1:4" x14ac:dyDescent="0.2">
      <c r="A454" s="37"/>
      <c r="B454" s="35"/>
      <c r="C454" s="105"/>
      <c r="D454" s="39" t="str">
        <f t="shared" si="8"/>
        <v/>
      </c>
    </row>
    <row r="455" spans="1:4" x14ac:dyDescent="0.2">
      <c r="A455" s="37"/>
      <c r="B455" s="35"/>
      <c r="C455" s="105"/>
      <c r="D455" s="39" t="str">
        <f t="shared" si="8"/>
        <v/>
      </c>
    </row>
    <row r="456" spans="1:4" x14ac:dyDescent="0.2">
      <c r="A456" s="37"/>
      <c r="B456" s="35"/>
      <c r="C456" s="105"/>
      <c r="D456" s="39" t="str">
        <f t="shared" si="8"/>
        <v/>
      </c>
    </row>
    <row r="457" spans="1:4" x14ac:dyDescent="0.2">
      <c r="A457" s="37"/>
      <c r="B457" s="35"/>
      <c r="C457" s="105"/>
      <c r="D457" s="39" t="str">
        <f t="shared" si="8"/>
        <v/>
      </c>
    </row>
    <row r="458" spans="1:4" x14ac:dyDescent="0.2">
      <c r="A458" s="37"/>
      <c r="B458" s="35"/>
      <c r="C458" s="105"/>
      <c r="D458" s="39" t="str">
        <f t="shared" si="8"/>
        <v/>
      </c>
    </row>
    <row r="459" spans="1:4" x14ac:dyDescent="0.2">
      <c r="A459" s="37"/>
      <c r="B459" s="35"/>
      <c r="C459" s="105"/>
      <c r="D459" s="39" t="str">
        <f t="shared" si="8"/>
        <v/>
      </c>
    </row>
    <row r="460" spans="1:4" x14ac:dyDescent="0.2">
      <c r="A460" s="37"/>
      <c r="B460" s="35"/>
      <c r="C460" s="105"/>
      <c r="D460" s="39" t="str">
        <f t="shared" si="8"/>
        <v/>
      </c>
    </row>
    <row r="461" spans="1:4" x14ac:dyDescent="0.2">
      <c r="A461" s="37"/>
      <c r="B461" s="35"/>
      <c r="C461" s="105"/>
      <c r="D461" s="39" t="str">
        <f t="shared" si="8"/>
        <v/>
      </c>
    </row>
    <row r="462" spans="1:4" x14ac:dyDescent="0.2">
      <c r="A462" s="37"/>
      <c r="B462" s="35"/>
      <c r="C462" s="105"/>
      <c r="D462" s="39" t="str">
        <f t="shared" si="8"/>
        <v/>
      </c>
    </row>
    <row r="463" spans="1:4" x14ac:dyDescent="0.2">
      <c r="A463" s="37"/>
      <c r="B463" s="35"/>
      <c r="C463" s="105"/>
      <c r="D463" s="39" t="str">
        <f t="shared" si="8"/>
        <v/>
      </c>
    </row>
    <row r="464" spans="1:4" x14ac:dyDescent="0.2">
      <c r="A464" s="37"/>
      <c r="B464" s="35"/>
      <c r="C464" s="105"/>
      <c r="D464" s="39" t="str">
        <f t="shared" si="8"/>
        <v/>
      </c>
    </row>
    <row r="465" spans="1:4" x14ac:dyDescent="0.2">
      <c r="A465" s="37"/>
      <c r="B465" s="35"/>
      <c r="C465" s="105"/>
      <c r="D465" s="39" t="str">
        <f t="shared" si="8"/>
        <v/>
      </c>
    </row>
    <row r="466" spans="1:4" x14ac:dyDescent="0.2">
      <c r="A466" s="37"/>
      <c r="B466" s="35"/>
      <c r="C466" s="105"/>
      <c r="D466" s="39" t="str">
        <f t="shared" si="8"/>
        <v/>
      </c>
    </row>
    <row r="467" spans="1:4" x14ac:dyDescent="0.2">
      <c r="A467" s="37"/>
      <c r="B467" s="35"/>
      <c r="C467" s="105"/>
      <c r="D467" s="39" t="str">
        <f t="shared" si="8"/>
        <v/>
      </c>
    </row>
    <row r="468" spans="1:4" x14ac:dyDescent="0.2">
      <c r="A468" s="37"/>
      <c r="B468" s="35"/>
      <c r="C468" s="105"/>
      <c r="D468" s="39" t="str">
        <f t="shared" si="8"/>
        <v/>
      </c>
    </row>
    <row r="469" spans="1:4" x14ac:dyDescent="0.2">
      <c r="A469" s="37"/>
      <c r="B469" s="35"/>
      <c r="C469" s="105"/>
      <c r="D469" s="39" t="str">
        <f t="shared" si="8"/>
        <v/>
      </c>
    </row>
    <row r="470" spans="1:4" x14ac:dyDescent="0.2">
      <c r="A470" s="37"/>
      <c r="B470" s="35"/>
      <c r="C470" s="105"/>
      <c r="D470" s="39" t="str">
        <f t="shared" si="8"/>
        <v/>
      </c>
    </row>
    <row r="471" spans="1:4" x14ac:dyDescent="0.2">
      <c r="A471" s="37"/>
      <c r="B471" s="35"/>
      <c r="C471" s="105"/>
      <c r="D471" s="39" t="str">
        <f t="shared" si="8"/>
        <v/>
      </c>
    </row>
    <row r="472" spans="1:4" x14ac:dyDescent="0.2">
      <c r="A472" s="37"/>
      <c r="B472" s="35"/>
      <c r="C472" s="105"/>
      <c r="D472" s="39" t="str">
        <f t="shared" si="8"/>
        <v/>
      </c>
    </row>
    <row r="473" spans="1:4" x14ac:dyDescent="0.2">
      <c r="A473" s="37"/>
      <c r="B473" s="35"/>
      <c r="C473" s="105"/>
      <c r="D473" s="39" t="str">
        <f t="shared" si="8"/>
        <v/>
      </c>
    </row>
    <row r="474" spans="1:4" x14ac:dyDescent="0.2">
      <c r="A474" s="37"/>
      <c r="B474" s="35"/>
      <c r="C474" s="105"/>
      <c r="D474" s="39" t="str">
        <f t="shared" ref="D474:D537" si="9">IFERROR(IF(C474&lt;&gt;"",C474*70, ""), "")</f>
        <v/>
      </c>
    </row>
    <row r="475" spans="1:4" x14ac:dyDescent="0.2">
      <c r="A475" s="37"/>
      <c r="B475" s="35"/>
      <c r="C475" s="105"/>
      <c r="D475" s="39" t="str">
        <f t="shared" si="9"/>
        <v/>
      </c>
    </row>
    <row r="476" spans="1:4" x14ac:dyDescent="0.2">
      <c r="A476" s="37"/>
      <c r="B476" s="35"/>
      <c r="C476" s="105"/>
      <c r="D476" s="39" t="str">
        <f t="shared" si="9"/>
        <v/>
      </c>
    </row>
    <row r="477" spans="1:4" x14ac:dyDescent="0.2">
      <c r="A477" s="37"/>
      <c r="B477" s="35"/>
      <c r="C477" s="105"/>
      <c r="D477" s="39" t="str">
        <f t="shared" si="9"/>
        <v/>
      </c>
    </row>
    <row r="478" spans="1:4" x14ac:dyDescent="0.2">
      <c r="A478" s="37"/>
      <c r="B478" s="35"/>
      <c r="C478" s="105"/>
      <c r="D478" s="39" t="str">
        <f t="shared" si="9"/>
        <v/>
      </c>
    </row>
    <row r="479" spans="1:4" x14ac:dyDescent="0.2">
      <c r="A479" s="37"/>
      <c r="B479" s="35"/>
      <c r="C479" s="105"/>
      <c r="D479" s="39" t="str">
        <f t="shared" si="9"/>
        <v/>
      </c>
    </row>
    <row r="480" spans="1:4" x14ac:dyDescent="0.2">
      <c r="A480" s="37"/>
      <c r="B480" s="35"/>
      <c r="C480" s="105"/>
      <c r="D480" s="39" t="str">
        <f t="shared" si="9"/>
        <v/>
      </c>
    </row>
    <row r="481" spans="1:4" x14ac:dyDescent="0.2">
      <c r="A481" s="37"/>
      <c r="B481" s="35"/>
      <c r="C481" s="105"/>
      <c r="D481" s="39" t="str">
        <f t="shared" si="9"/>
        <v/>
      </c>
    </row>
    <row r="482" spans="1:4" x14ac:dyDescent="0.2">
      <c r="A482" s="37"/>
      <c r="B482" s="35"/>
      <c r="C482" s="105"/>
      <c r="D482" s="39" t="str">
        <f t="shared" si="9"/>
        <v/>
      </c>
    </row>
    <row r="483" spans="1:4" x14ac:dyDescent="0.2">
      <c r="A483" s="37"/>
      <c r="B483" s="35"/>
      <c r="C483" s="105"/>
      <c r="D483" s="39" t="str">
        <f t="shared" si="9"/>
        <v/>
      </c>
    </row>
    <row r="484" spans="1:4" x14ac:dyDescent="0.2">
      <c r="A484" s="37"/>
      <c r="B484" s="35"/>
      <c r="C484" s="105"/>
      <c r="D484" s="39" t="str">
        <f t="shared" si="9"/>
        <v/>
      </c>
    </row>
    <row r="485" spans="1:4" x14ac:dyDescent="0.2">
      <c r="A485" s="37"/>
      <c r="B485" s="35"/>
      <c r="C485" s="105"/>
      <c r="D485" s="39" t="str">
        <f t="shared" si="9"/>
        <v/>
      </c>
    </row>
    <row r="486" spans="1:4" x14ac:dyDescent="0.2">
      <c r="A486" s="37"/>
      <c r="B486" s="35"/>
      <c r="C486" s="105"/>
      <c r="D486" s="39" t="str">
        <f t="shared" si="9"/>
        <v/>
      </c>
    </row>
    <row r="487" spans="1:4" x14ac:dyDescent="0.2">
      <c r="A487" s="37"/>
      <c r="B487" s="35"/>
      <c r="C487" s="105"/>
      <c r="D487" s="39" t="str">
        <f t="shared" si="9"/>
        <v/>
      </c>
    </row>
    <row r="488" spans="1:4" x14ac:dyDescent="0.2">
      <c r="A488" s="37"/>
      <c r="B488" s="35"/>
      <c r="C488" s="105"/>
      <c r="D488" s="39" t="str">
        <f t="shared" si="9"/>
        <v/>
      </c>
    </row>
    <row r="489" spans="1:4" x14ac:dyDescent="0.2">
      <c r="A489" s="37"/>
      <c r="B489" s="35"/>
      <c r="C489" s="105"/>
      <c r="D489" s="39" t="str">
        <f t="shared" si="9"/>
        <v/>
      </c>
    </row>
    <row r="490" spans="1:4" x14ac:dyDescent="0.2">
      <c r="A490" s="37"/>
      <c r="B490" s="35"/>
      <c r="C490" s="105"/>
      <c r="D490" s="39" t="str">
        <f t="shared" si="9"/>
        <v/>
      </c>
    </row>
    <row r="491" spans="1:4" x14ac:dyDescent="0.2">
      <c r="A491" s="37"/>
      <c r="B491" s="35"/>
      <c r="C491" s="105"/>
      <c r="D491" s="39" t="str">
        <f t="shared" si="9"/>
        <v/>
      </c>
    </row>
    <row r="492" spans="1:4" x14ac:dyDescent="0.2">
      <c r="A492" s="37"/>
      <c r="B492" s="35"/>
      <c r="C492" s="105"/>
      <c r="D492" s="39" t="str">
        <f t="shared" si="9"/>
        <v/>
      </c>
    </row>
    <row r="493" spans="1:4" x14ac:dyDescent="0.2">
      <c r="A493" s="37"/>
      <c r="B493" s="35"/>
      <c r="C493" s="105"/>
      <c r="D493" s="39" t="str">
        <f t="shared" si="9"/>
        <v/>
      </c>
    </row>
    <row r="494" spans="1:4" x14ac:dyDescent="0.2">
      <c r="A494" s="37"/>
      <c r="B494" s="35"/>
      <c r="C494" s="105"/>
      <c r="D494" s="39" t="str">
        <f t="shared" si="9"/>
        <v/>
      </c>
    </row>
    <row r="495" spans="1:4" x14ac:dyDescent="0.2">
      <c r="A495" s="37"/>
      <c r="B495" s="35"/>
      <c r="C495" s="105"/>
      <c r="D495" s="39" t="str">
        <f t="shared" si="9"/>
        <v/>
      </c>
    </row>
    <row r="496" spans="1:4" x14ac:dyDescent="0.2">
      <c r="A496" s="37"/>
      <c r="B496" s="35"/>
      <c r="C496" s="105"/>
      <c r="D496" s="39" t="str">
        <f t="shared" si="9"/>
        <v/>
      </c>
    </row>
    <row r="497" spans="1:4" x14ac:dyDescent="0.2">
      <c r="A497" s="37"/>
      <c r="B497" s="35"/>
      <c r="C497" s="105"/>
      <c r="D497" s="39" t="str">
        <f t="shared" si="9"/>
        <v/>
      </c>
    </row>
    <row r="498" spans="1:4" x14ac:dyDescent="0.2">
      <c r="A498" s="37"/>
      <c r="B498" s="35"/>
      <c r="C498" s="105"/>
      <c r="D498" s="39" t="str">
        <f t="shared" si="9"/>
        <v/>
      </c>
    </row>
    <row r="499" spans="1:4" x14ac:dyDescent="0.2">
      <c r="A499" s="37"/>
      <c r="B499" s="35"/>
      <c r="C499" s="105"/>
      <c r="D499" s="39" t="str">
        <f t="shared" si="9"/>
        <v/>
      </c>
    </row>
    <row r="500" spans="1:4" x14ac:dyDescent="0.2">
      <c r="A500" s="37"/>
      <c r="B500" s="35"/>
      <c r="C500" s="105"/>
      <c r="D500" s="39" t="str">
        <f t="shared" si="9"/>
        <v/>
      </c>
    </row>
    <row r="501" spans="1:4" x14ac:dyDescent="0.2">
      <c r="A501" s="37"/>
      <c r="B501" s="35"/>
      <c r="C501" s="105"/>
      <c r="D501" s="39" t="str">
        <f t="shared" si="9"/>
        <v/>
      </c>
    </row>
    <row r="502" spans="1:4" x14ac:dyDescent="0.2">
      <c r="A502" s="37"/>
      <c r="B502" s="35"/>
      <c r="C502" s="105"/>
      <c r="D502" s="39" t="str">
        <f t="shared" si="9"/>
        <v/>
      </c>
    </row>
    <row r="503" spans="1:4" x14ac:dyDescent="0.2">
      <c r="A503" s="37"/>
      <c r="B503" s="35"/>
      <c r="C503" s="105"/>
      <c r="D503" s="39" t="str">
        <f t="shared" si="9"/>
        <v/>
      </c>
    </row>
    <row r="504" spans="1:4" x14ac:dyDescent="0.2">
      <c r="A504" s="37"/>
      <c r="B504" s="35"/>
      <c r="C504" s="105"/>
      <c r="D504" s="39" t="str">
        <f t="shared" si="9"/>
        <v/>
      </c>
    </row>
    <row r="505" spans="1:4" x14ac:dyDescent="0.2">
      <c r="A505" s="37"/>
      <c r="B505" s="35"/>
      <c r="C505" s="105"/>
      <c r="D505" s="39" t="str">
        <f t="shared" si="9"/>
        <v/>
      </c>
    </row>
    <row r="506" spans="1:4" x14ac:dyDescent="0.2">
      <c r="A506" s="37"/>
      <c r="B506" s="35"/>
      <c r="C506" s="105"/>
      <c r="D506" s="39" t="str">
        <f t="shared" si="9"/>
        <v/>
      </c>
    </row>
    <row r="507" spans="1:4" x14ac:dyDescent="0.2">
      <c r="A507" s="37"/>
      <c r="B507" s="35"/>
      <c r="C507" s="105"/>
      <c r="D507" s="39" t="str">
        <f t="shared" si="9"/>
        <v/>
      </c>
    </row>
    <row r="508" spans="1:4" x14ac:dyDescent="0.2">
      <c r="A508" s="37"/>
      <c r="B508" s="35"/>
      <c r="C508" s="105"/>
      <c r="D508" s="39" t="str">
        <f t="shared" si="9"/>
        <v/>
      </c>
    </row>
    <row r="509" spans="1:4" x14ac:dyDescent="0.2">
      <c r="A509" s="37"/>
      <c r="B509" s="35"/>
      <c r="C509" s="105"/>
      <c r="D509" s="39" t="str">
        <f t="shared" si="9"/>
        <v/>
      </c>
    </row>
    <row r="510" spans="1:4" x14ac:dyDescent="0.2">
      <c r="A510" s="37"/>
      <c r="B510" s="35"/>
      <c r="C510" s="105"/>
      <c r="D510" s="39" t="str">
        <f t="shared" si="9"/>
        <v/>
      </c>
    </row>
    <row r="511" spans="1:4" x14ac:dyDescent="0.2">
      <c r="A511" s="37"/>
      <c r="B511" s="35"/>
      <c r="C511" s="105"/>
      <c r="D511" s="39" t="str">
        <f t="shared" si="9"/>
        <v/>
      </c>
    </row>
    <row r="512" spans="1:4" x14ac:dyDescent="0.2">
      <c r="A512" s="37"/>
      <c r="B512" s="35"/>
      <c r="C512" s="105"/>
      <c r="D512" s="39" t="str">
        <f t="shared" si="9"/>
        <v/>
      </c>
    </row>
    <row r="513" spans="1:4" x14ac:dyDescent="0.2">
      <c r="A513" s="37"/>
      <c r="B513" s="35"/>
      <c r="C513" s="105"/>
      <c r="D513" s="39" t="str">
        <f t="shared" si="9"/>
        <v/>
      </c>
    </row>
    <row r="514" spans="1:4" x14ac:dyDescent="0.2">
      <c r="A514" s="37"/>
      <c r="B514" s="35"/>
      <c r="C514" s="105"/>
      <c r="D514" s="39" t="str">
        <f t="shared" si="9"/>
        <v/>
      </c>
    </row>
    <row r="515" spans="1:4" x14ac:dyDescent="0.2">
      <c r="A515" s="37"/>
      <c r="B515" s="35"/>
      <c r="C515" s="105"/>
      <c r="D515" s="39" t="str">
        <f t="shared" si="9"/>
        <v/>
      </c>
    </row>
    <row r="516" spans="1:4" x14ac:dyDescent="0.2">
      <c r="A516" s="37"/>
      <c r="B516" s="35"/>
      <c r="C516" s="105"/>
      <c r="D516" s="39" t="str">
        <f t="shared" si="9"/>
        <v/>
      </c>
    </row>
    <row r="517" spans="1:4" x14ac:dyDescent="0.2">
      <c r="A517" s="37"/>
      <c r="B517" s="35"/>
      <c r="C517" s="105"/>
      <c r="D517" s="39" t="str">
        <f t="shared" si="9"/>
        <v/>
      </c>
    </row>
    <row r="518" spans="1:4" x14ac:dyDescent="0.2">
      <c r="A518" s="37"/>
      <c r="B518" s="35"/>
      <c r="C518" s="105"/>
      <c r="D518" s="39" t="str">
        <f t="shared" si="9"/>
        <v/>
      </c>
    </row>
    <row r="519" spans="1:4" x14ac:dyDescent="0.2">
      <c r="A519" s="37"/>
      <c r="B519" s="35"/>
      <c r="C519" s="105"/>
      <c r="D519" s="39" t="str">
        <f t="shared" si="9"/>
        <v/>
      </c>
    </row>
    <row r="520" spans="1:4" x14ac:dyDescent="0.2">
      <c r="A520" s="37"/>
      <c r="B520" s="35"/>
      <c r="C520" s="105"/>
      <c r="D520" s="39" t="str">
        <f t="shared" si="9"/>
        <v/>
      </c>
    </row>
    <row r="521" spans="1:4" x14ac:dyDescent="0.2">
      <c r="A521" s="37"/>
      <c r="B521" s="35"/>
      <c r="C521" s="105"/>
      <c r="D521" s="39" t="str">
        <f t="shared" si="9"/>
        <v/>
      </c>
    </row>
    <row r="522" spans="1:4" x14ac:dyDescent="0.2">
      <c r="A522" s="37"/>
      <c r="B522" s="35"/>
      <c r="C522" s="105"/>
      <c r="D522" s="39" t="str">
        <f t="shared" si="9"/>
        <v/>
      </c>
    </row>
    <row r="523" spans="1:4" x14ac:dyDescent="0.2">
      <c r="A523" s="37"/>
      <c r="B523" s="35"/>
      <c r="C523" s="105"/>
      <c r="D523" s="39" t="str">
        <f t="shared" si="9"/>
        <v/>
      </c>
    </row>
    <row r="524" spans="1:4" x14ac:dyDescent="0.2">
      <c r="A524" s="37"/>
      <c r="B524" s="35"/>
      <c r="C524" s="105"/>
      <c r="D524" s="39" t="str">
        <f t="shared" si="9"/>
        <v/>
      </c>
    </row>
    <row r="525" spans="1:4" x14ac:dyDescent="0.2">
      <c r="A525" s="37"/>
      <c r="B525" s="35"/>
      <c r="C525" s="105"/>
      <c r="D525" s="39" t="str">
        <f t="shared" si="9"/>
        <v/>
      </c>
    </row>
    <row r="526" spans="1:4" x14ac:dyDescent="0.2">
      <c r="A526" s="37"/>
      <c r="B526" s="35"/>
      <c r="C526" s="105"/>
      <c r="D526" s="39" t="str">
        <f t="shared" si="9"/>
        <v/>
      </c>
    </row>
    <row r="527" spans="1:4" x14ac:dyDescent="0.2">
      <c r="A527" s="37"/>
      <c r="B527" s="35"/>
      <c r="C527" s="105"/>
      <c r="D527" s="39" t="str">
        <f t="shared" si="9"/>
        <v/>
      </c>
    </row>
    <row r="528" spans="1:4" x14ac:dyDescent="0.2">
      <c r="A528" s="37"/>
      <c r="B528" s="35"/>
      <c r="C528" s="105"/>
      <c r="D528" s="39" t="str">
        <f t="shared" si="9"/>
        <v/>
      </c>
    </row>
    <row r="529" spans="1:4" x14ac:dyDescent="0.2">
      <c r="A529" s="37"/>
      <c r="B529" s="35"/>
      <c r="C529" s="105"/>
      <c r="D529" s="39" t="str">
        <f t="shared" si="9"/>
        <v/>
      </c>
    </row>
    <row r="530" spans="1:4" x14ac:dyDescent="0.2">
      <c r="A530" s="37"/>
      <c r="B530" s="35"/>
      <c r="C530" s="105"/>
      <c r="D530" s="39" t="str">
        <f t="shared" si="9"/>
        <v/>
      </c>
    </row>
    <row r="531" spans="1:4" x14ac:dyDescent="0.2">
      <c r="A531" s="37"/>
      <c r="B531" s="35"/>
      <c r="C531" s="105"/>
      <c r="D531" s="39" t="str">
        <f t="shared" si="9"/>
        <v/>
      </c>
    </row>
    <row r="532" spans="1:4" x14ac:dyDescent="0.2">
      <c r="A532" s="37"/>
      <c r="B532" s="35"/>
      <c r="C532" s="105"/>
      <c r="D532" s="39" t="str">
        <f t="shared" si="9"/>
        <v/>
      </c>
    </row>
    <row r="533" spans="1:4" x14ac:dyDescent="0.2">
      <c r="A533" s="37"/>
      <c r="B533" s="35"/>
      <c r="C533" s="105"/>
      <c r="D533" s="39" t="str">
        <f t="shared" si="9"/>
        <v/>
      </c>
    </row>
    <row r="534" spans="1:4" x14ac:dyDescent="0.2">
      <c r="A534" s="37"/>
      <c r="B534" s="35"/>
      <c r="C534" s="105"/>
      <c r="D534" s="39" t="str">
        <f t="shared" si="9"/>
        <v/>
      </c>
    </row>
    <row r="535" spans="1:4" x14ac:dyDescent="0.2">
      <c r="A535" s="37"/>
      <c r="B535" s="35"/>
      <c r="C535" s="105"/>
      <c r="D535" s="39" t="str">
        <f t="shared" si="9"/>
        <v/>
      </c>
    </row>
    <row r="536" spans="1:4" x14ac:dyDescent="0.2">
      <c r="A536" s="37"/>
      <c r="B536" s="35"/>
      <c r="C536" s="105"/>
      <c r="D536" s="39" t="str">
        <f t="shared" si="9"/>
        <v/>
      </c>
    </row>
    <row r="537" spans="1:4" x14ac:dyDescent="0.2">
      <c r="A537" s="37"/>
      <c r="B537" s="35"/>
      <c r="C537" s="105"/>
      <c r="D537" s="39" t="str">
        <f t="shared" si="9"/>
        <v/>
      </c>
    </row>
    <row r="538" spans="1:4" x14ac:dyDescent="0.2">
      <c r="A538" s="37"/>
      <c r="B538" s="35"/>
      <c r="C538" s="105"/>
      <c r="D538" s="39" t="str">
        <f t="shared" ref="D538:D601" si="10">IFERROR(IF(C538&lt;&gt;"",C538*70, ""), "")</f>
        <v/>
      </c>
    </row>
    <row r="539" spans="1:4" x14ac:dyDescent="0.2">
      <c r="A539" s="37"/>
      <c r="B539" s="35"/>
      <c r="C539" s="105"/>
      <c r="D539" s="39" t="str">
        <f t="shared" si="10"/>
        <v/>
      </c>
    </row>
    <row r="540" spans="1:4" x14ac:dyDescent="0.2">
      <c r="A540" s="37"/>
      <c r="B540" s="35"/>
      <c r="C540" s="105"/>
      <c r="D540" s="39" t="str">
        <f t="shared" si="10"/>
        <v/>
      </c>
    </row>
    <row r="541" spans="1:4" x14ac:dyDescent="0.2">
      <c r="A541" s="37"/>
      <c r="B541" s="35"/>
      <c r="C541" s="105"/>
      <c r="D541" s="39" t="str">
        <f t="shared" si="10"/>
        <v/>
      </c>
    </row>
    <row r="542" spans="1:4" x14ac:dyDescent="0.2">
      <c r="A542" s="37"/>
      <c r="B542" s="35"/>
      <c r="C542" s="105"/>
      <c r="D542" s="39" t="str">
        <f t="shared" si="10"/>
        <v/>
      </c>
    </row>
    <row r="543" spans="1:4" x14ac:dyDescent="0.2">
      <c r="A543" s="37"/>
      <c r="B543" s="35"/>
      <c r="C543" s="105"/>
      <c r="D543" s="39" t="str">
        <f t="shared" si="10"/>
        <v/>
      </c>
    </row>
    <row r="544" spans="1:4" x14ac:dyDescent="0.2">
      <c r="A544" s="37"/>
      <c r="B544" s="35"/>
      <c r="C544" s="105"/>
      <c r="D544" s="39" t="str">
        <f t="shared" si="10"/>
        <v/>
      </c>
    </row>
    <row r="545" spans="1:4" x14ac:dyDescent="0.2">
      <c r="A545" s="37"/>
      <c r="B545" s="35"/>
      <c r="C545" s="105"/>
      <c r="D545" s="39" t="str">
        <f t="shared" si="10"/>
        <v/>
      </c>
    </row>
    <row r="546" spans="1:4" x14ac:dyDescent="0.2">
      <c r="A546" s="37"/>
      <c r="B546" s="35"/>
      <c r="C546" s="105"/>
      <c r="D546" s="39" t="str">
        <f t="shared" si="10"/>
        <v/>
      </c>
    </row>
    <row r="547" spans="1:4" x14ac:dyDescent="0.2">
      <c r="A547" s="37"/>
      <c r="B547" s="35"/>
      <c r="C547" s="105"/>
      <c r="D547" s="39" t="str">
        <f t="shared" si="10"/>
        <v/>
      </c>
    </row>
    <row r="548" spans="1:4" x14ac:dyDescent="0.2">
      <c r="A548" s="37"/>
      <c r="B548" s="35"/>
      <c r="C548" s="105"/>
      <c r="D548" s="39" t="str">
        <f t="shared" si="10"/>
        <v/>
      </c>
    </row>
    <row r="549" spans="1:4" x14ac:dyDescent="0.2">
      <c r="A549" s="37"/>
      <c r="B549" s="35"/>
      <c r="C549" s="105"/>
      <c r="D549" s="39" t="str">
        <f t="shared" si="10"/>
        <v/>
      </c>
    </row>
    <row r="550" spans="1:4" x14ac:dyDescent="0.2">
      <c r="A550" s="37"/>
      <c r="B550" s="35"/>
      <c r="C550" s="105"/>
      <c r="D550" s="39" t="str">
        <f t="shared" si="10"/>
        <v/>
      </c>
    </row>
    <row r="551" spans="1:4" x14ac:dyDescent="0.2">
      <c r="A551" s="37"/>
      <c r="B551" s="35"/>
      <c r="C551" s="105"/>
      <c r="D551" s="39" t="str">
        <f t="shared" si="10"/>
        <v/>
      </c>
    </row>
    <row r="552" spans="1:4" x14ac:dyDescent="0.2">
      <c r="A552" s="37"/>
      <c r="B552" s="35"/>
      <c r="C552" s="105"/>
      <c r="D552" s="39" t="str">
        <f t="shared" si="10"/>
        <v/>
      </c>
    </row>
    <row r="553" spans="1:4" x14ac:dyDescent="0.2">
      <c r="A553" s="37"/>
      <c r="B553" s="35"/>
      <c r="C553" s="105"/>
      <c r="D553" s="39" t="str">
        <f t="shared" si="10"/>
        <v/>
      </c>
    </row>
    <row r="554" spans="1:4" x14ac:dyDescent="0.2">
      <c r="A554" s="37"/>
      <c r="B554" s="35"/>
      <c r="C554" s="105"/>
      <c r="D554" s="39" t="str">
        <f t="shared" si="10"/>
        <v/>
      </c>
    </row>
    <row r="555" spans="1:4" x14ac:dyDescent="0.2">
      <c r="A555" s="37"/>
      <c r="B555" s="35"/>
      <c r="C555" s="105"/>
      <c r="D555" s="39" t="str">
        <f t="shared" si="10"/>
        <v/>
      </c>
    </row>
    <row r="556" spans="1:4" x14ac:dyDescent="0.2">
      <c r="A556" s="37"/>
      <c r="B556" s="35"/>
      <c r="C556" s="105"/>
      <c r="D556" s="39" t="str">
        <f t="shared" si="10"/>
        <v/>
      </c>
    </row>
    <row r="557" spans="1:4" x14ac:dyDescent="0.2">
      <c r="A557" s="37"/>
      <c r="B557" s="35"/>
      <c r="C557" s="105"/>
      <c r="D557" s="39" t="str">
        <f t="shared" si="10"/>
        <v/>
      </c>
    </row>
    <row r="558" spans="1:4" x14ac:dyDescent="0.2">
      <c r="A558" s="37"/>
      <c r="B558" s="35"/>
      <c r="C558" s="105"/>
      <c r="D558" s="39" t="str">
        <f t="shared" si="10"/>
        <v/>
      </c>
    </row>
    <row r="559" spans="1:4" x14ac:dyDescent="0.2">
      <c r="A559" s="37"/>
      <c r="B559" s="35"/>
      <c r="C559" s="105"/>
      <c r="D559" s="39" t="str">
        <f t="shared" si="10"/>
        <v/>
      </c>
    </row>
    <row r="560" spans="1:4" x14ac:dyDescent="0.2">
      <c r="A560" s="37"/>
      <c r="B560" s="35"/>
      <c r="C560" s="105"/>
      <c r="D560" s="39" t="str">
        <f t="shared" si="10"/>
        <v/>
      </c>
    </row>
    <row r="561" spans="1:4" x14ac:dyDescent="0.2">
      <c r="A561" s="37"/>
      <c r="B561" s="35"/>
      <c r="C561" s="105"/>
      <c r="D561" s="39" t="str">
        <f t="shared" si="10"/>
        <v/>
      </c>
    </row>
    <row r="562" spans="1:4" x14ac:dyDescent="0.2">
      <c r="A562" s="37"/>
      <c r="B562" s="35"/>
      <c r="C562" s="105"/>
      <c r="D562" s="39" t="str">
        <f t="shared" si="10"/>
        <v/>
      </c>
    </row>
    <row r="563" spans="1:4" x14ac:dyDescent="0.2">
      <c r="A563" s="37"/>
      <c r="B563" s="35"/>
      <c r="C563" s="105"/>
      <c r="D563" s="39" t="str">
        <f t="shared" si="10"/>
        <v/>
      </c>
    </row>
    <row r="564" spans="1:4" x14ac:dyDescent="0.2">
      <c r="A564" s="37"/>
      <c r="B564" s="35"/>
      <c r="C564" s="105"/>
      <c r="D564" s="39" t="str">
        <f t="shared" si="10"/>
        <v/>
      </c>
    </row>
    <row r="565" spans="1:4" x14ac:dyDescent="0.2">
      <c r="A565" s="37"/>
      <c r="B565" s="35"/>
      <c r="C565" s="105"/>
      <c r="D565" s="39" t="str">
        <f t="shared" si="10"/>
        <v/>
      </c>
    </row>
    <row r="566" spans="1:4" x14ac:dyDescent="0.2">
      <c r="A566" s="37"/>
      <c r="B566" s="35"/>
      <c r="C566" s="105"/>
      <c r="D566" s="39" t="str">
        <f t="shared" si="10"/>
        <v/>
      </c>
    </row>
    <row r="567" spans="1:4" x14ac:dyDescent="0.2">
      <c r="A567" s="37"/>
      <c r="B567" s="35"/>
      <c r="C567" s="105"/>
      <c r="D567" s="39" t="str">
        <f t="shared" si="10"/>
        <v/>
      </c>
    </row>
    <row r="568" spans="1:4" x14ac:dyDescent="0.2">
      <c r="A568" s="37"/>
      <c r="B568" s="35"/>
      <c r="C568" s="105"/>
      <c r="D568" s="39" t="str">
        <f t="shared" si="10"/>
        <v/>
      </c>
    </row>
    <row r="569" spans="1:4" x14ac:dyDescent="0.2">
      <c r="A569" s="37"/>
      <c r="B569" s="35"/>
      <c r="C569" s="105"/>
      <c r="D569" s="39" t="str">
        <f t="shared" si="10"/>
        <v/>
      </c>
    </row>
    <row r="570" spans="1:4" x14ac:dyDescent="0.2">
      <c r="A570" s="37"/>
      <c r="B570" s="35"/>
      <c r="C570" s="105"/>
      <c r="D570" s="39" t="str">
        <f t="shared" si="10"/>
        <v/>
      </c>
    </row>
    <row r="571" spans="1:4" x14ac:dyDescent="0.2">
      <c r="A571" s="37"/>
      <c r="B571" s="35"/>
      <c r="C571" s="105"/>
      <c r="D571" s="39" t="str">
        <f t="shared" si="10"/>
        <v/>
      </c>
    </row>
    <row r="572" spans="1:4" x14ac:dyDescent="0.2">
      <c r="A572" s="37"/>
      <c r="B572" s="35"/>
      <c r="C572" s="105"/>
      <c r="D572" s="39" t="str">
        <f t="shared" si="10"/>
        <v/>
      </c>
    </row>
    <row r="573" spans="1:4" x14ac:dyDescent="0.2">
      <c r="A573" s="37"/>
      <c r="B573" s="35"/>
      <c r="C573" s="105"/>
      <c r="D573" s="39" t="str">
        <f t="shared" si="10"/>
        <v/>
      </c>
    </row>
    <row r="574" spans="1:4" x14ac:dyDescent="0.2">
      <c r="A574" s="37"/>
      <c r="B574" s="35"/>
      <c r="C574" s="105"/>
      <c r="D574" s="39" t="str">
        <f t="shared" si="10"/>
        <v/>
      </c>
    </row>
    <row r="575" spans="1:4" x14ac:dyDescent="0.2">
      <c r="A575" s="37"/>
      <c r="B575" s="35"/>
      <c r="C575" s="105"/>
      <c r="D575" s="39" t="str">
        <f t="shared" si="10"/>
        <v/>
      </c>
    </row>
    <row r="576" spans="1:4" x14ac:dyDescent="0.2">
      <c r="A576" s="37"/>
      <c r="B576" s="35"/>
      <c r="C576" s="105"/>
      <c r="D576" s="39" t="str">
        <f t="shared" si="10"/>
        <v/>
      </c>
    </row>
    <row r="577" spans="1:4" x14ac:dyDescent="0.2">
      <c r="A577" s="37"/>
      <c r="B577" s="35"/>
      <c r="C577" s="105"/>
      <c r="D577" s="39" t="str">
        <f t="shared" si="10"/>
        <v/>
      </c>
    </row>
    <row r="578" spans="1:4" x14ac:dyDescent="0.2">
      <c r="A578" s="37"/>
      <c r="B578" s="35"/>
      <c r="C578" s="105"/>
      <c r="D578" s="39" t="str">
        <f t="shared" si="10"/>
        <v/>
      </c>
    </row>
    <row r="579" spans="1:4" x14ac:dyDescent="0.2">
      <c r="A579" s="37"/>
      <c r="B579" s="35"/>
      <c r="C579" s="105"/>
      <c r="D579" s="39" t="str">
        <f t="shared" si="10"/>
        <v/>
      </c>
    </row>
    <row r="580" spans="1:4" x14ac:dyDescent="0.2">
      <c r="A580" s="37"/>
      <c r="B580" s="35"/>
      <c r="C580" s="105"/>
      <c r="D580" s="39" t="str">
        <f t="shared" si="10"/>
        <v/>
      </c>
    </row>
    <row r="581" spans="1:4" x14ac:dyDescent="0.2">
      <c r="A581" s="37"/>
      <c r="B581" s="35"/>
      <c r="C581" s="105"/>
      <c r="D581" s="39" t="str">
        <f t="shared" si="10"/>
        <v/>
      </c>
    </row>
    <row r="582" spans="1:4" x14ac:dyDescent="0.2">
      <c r="A582" s="37"/>
      <c r="B582" s="35"/>
      <c r="C582" s="105"/>
      <c r="D582" s="39" t="str">
        <f t="shared" si="10"/>
        <v/>
      </c>
    </row>
    <row r="583" spans="1:4" x14ac:dyDescent="0.2">
      <c r="A583" s="37"/>
      <c r="B583" s="35"/>
      <c r="C583" s="105"/>
      <c r="D583" s="39" t="str">
        <f t="shared" si="10"/>
        <v/>
      </c>
    </row>
    <row r="584" spans="1:4" x14ac:dyDescent="0.2">
      <c r="A584" s="37"/>
      <c r="B584" s="35"/>
      <c r="C584" s="105"/>
      <c r="D584" s="39" t="str">
        <f t="shared" si="10"/>
        <v/>
      </c>
    </row>
    <row r="585" spans="1:4" x14ac:dyDescent="0.2">
      <c r="A585" s="37"/>
      <c r="B585" s="35"/>
      <c r="C585" s="105"/>
      <c r="D585" s="39" t="str">
        <f t="shared" si="10"/>
        <v/>
      </c>
    </row>
    <row r="586" spans="1:4" x14ac:dyDescent="0.2">
      <c r="A586" s="37"/>
      <c r="B586" s="35"/>
      <c r="C586" s="105"/>
      <c r="D586" s="39" t="str">
        <f t="shared" si="10"/>
        <v/>
      </c>
    </row>
    <row r="587" spans="1:4" x14ac:dyDescent="0.2">
      <c r="A587" s="37"/>
      <c r="B587" s="35"/>
      <c r="C587" s="105"/>
      <c r="D587" s="39" t="str">
        <f t="shared" si="10"/>
        <v/>
      </c>
    </row>
    <row r="588" spans="1:4" x14ac:dyDescent="0.2">
      <c r="A588" s="37"/>
      <c r="B588" s="35"/>
      <c r="C588" s="105"/>
      <c r="D588" s="39" t="str">
        <f t="shared" si="10"/>
        <v/>
      </c>
    </row>
    <row r="589" spans="1:4" x14ac:dyDescent="0.2">
      <c r="A589" s="37"/>
      <c r="B589" s="35"/>
      <c r="C589" s="105"/>
      <c r="D589" s="39" t="str">
        <f t="shared" si="10"/>
        <v/>
      </c>
    </row>
    <row r="590" spans="1:4" x14ac:dyDescent="0.2">
      <c r="A590" s="37"/>
      <c r="B590" s="35"/>
      <c r="C590" s="105"/>
      <c r="D590" s="39" t="str">
        <f t="shared" si="10"/>
        <v/>
      </c>
    </row>
    <row r="591" spans="1:4" x14ac:dyDescent="0.2">
      <c r="A591" s="37"/>
      <c r="B591" s="35"/>
      <c r="C591" s="105"/>
      <c r="D591" s="39" t="str">
        <f t="shared" si="10"/>
        <v/>
      </c>
    </row>
    <row r="592" spans="1:4" x14ac:dyDescent="0.2">
      <c r="A592" s="37"/>
      <c r="B592" s="35"/>
      <c r="C592" s="105"/>
      <c r="D592" s="39" t="str">
        <f t="shared" si="10"/>
        <v/>
      </c>
    </row>
    <row r="593" spans="1:4" x14ac:dyDescent="0.2">
      <c r="A593" s="37"/>
      <c r="B593" s="35"/>
      <c r="C593" s="105"/>
      <c r="D593" s="39" t="str">
        <f t="shared" si="10"/>
        <v/>
      </c>
    </row>
    <row r="594" spans="1:4" x14ac:dyDescent="0.2">
      <c r="A594" s="37"/>
      <c r="B594" s="35"/>
      <c r="C594" s="105"/>
      <c r="D594" s="39" t="str">
        <f t="shared" si="10"/>
        <v/>
      </c>
    </row>
    <row r="595" spans="1:4" x14ac:dyDescent="0.2">
      <c r="A595" s="37"/>
      <c r="B595" s="35"/>
      <c r="C595" s="105"/>
      <c r="D595" s="39" t="str">
        <f t="shared" si="10"/>
        <v/>
      </c>
    </row>
    <row r="596" spans="1:4" x14ac:dyDescent="0.2">
      <c r="A596" s="37"/>
      <c r="B596" s="35"/>
      <c r="C596" s="105"/>
      <c r="D596" s="39" t="str">
        <f t="shared" si="10"/>
        <v/>
      </c>
    </row>
    <row r="597" spans="1:4" x14ac:dyDescent="0.2">
      <c r="A597" s="37"/>
      <c r="B597" s="35"/>
      <c r="C597" s="105"/>
      <c r="D597" s="39" t="str">
        <f t="shared" si="10"/>
        <v/>
      </c>
    </row>
    <row r="598" spans="1:4" x14ac:dyDescent="0.2">
      <c r="A598" s="37"/>
      <c r="B598" s="35"/>
      <c r="C598" s="105"/>
      <c r="D598" s="39" t="str">
        <f t="shared" si="10"/>
        <v/>
      </c>
    </row>
    <row r="599" spans="1:4" x14ac:dyDescent="0.2">
      <c r="A599" s="37"/>
      <c r="B599" s="35"/>
      <c r="C599" s="105"/>
      <c r="D599" s="39" t="str">
        <f t="shared" si="10"/>
        <v/>
      </c>
    </row>
    <row r="600" spans="1:4" x14ac:dyDescent="0.2">
      <c r="A600" s="37"/>
      <c r="B600" s="35"/>
      <c r="C600" s="105"/>
      <c r="D600" s="39" t="str">
        <f t="shared" si="10"/>
        <v/>
      </c>
    </row>
    <row r="601" spans="1:4" x14ac:dyDescent="0.2">
      <c r="A601" s="37"/>
      <c r="B601" s="35"/>
      <c r="C601" s="105"/>
      <c r="D601" s="39" t="str">
        <f t="shared" si="10"/>
        <v/>
      </c>
    </row>
    <row r="602" spans="1:4" x14ac:dyDescent="0.2">
      <c r="A602" s="37"/>
      <c r="B602" s="35"/>
      <c r="C602" s="105"/>
      <c r="D602" s="39" t="str">
        <f t="shared" ref="D602:D665" si="11">IFERROR(IF(C602&lt;&gt;"",C602*70, ""), "")</f>
        <v/>
      </c>
    </row>
    <row r="603" spans="1:4" x14ac:dyDescent="0.2">
      <c r="A603" s="37"/>
      <c r="B603" s="35"/>
      <c r="C603" s="105"/>
      <c r="D603" s="39" t="str">
        <f t="shared" si="11"/>
        <v/>
      </c>
    </row>
    <row r="604" spans="1:4" x14ac:dyDescent="0.2">
      <c r="A604" s="37"/>
      <c r="B604" s="35"/>
      <c r="C604" s="105"/>
      <c r="D604" s="39" t="str">
        <f t="shared" si="11"/>
        <v/>
      </c>
    </row>
    <row r="605" spans="1:4" x14ac:dyDescent="0.2">
      <c r="A605" s="37"/>
      <c r="B605" s="35"/>
      <c r="C605" s="105"/>
      <c r="D605" s="39" t="str">
        <f t="shared" si="11"/>
        <v/>
      </c>
    </row>
    <row r="606" spans="1:4" x14ac:dyDescent="0.2">
      <c r="A606" s="37"/>
      <c r="B606" s="35"/>
      <c r="C606" s="105"/>
      <c r="D606" s="39" t="str">
        <f t="shared" si="11"/>
        <v/>
      </c>
    </row>
    <row r="607" spans="1:4" x14ac:dyDescent="0.2">
      <c r="A607" s="37"/>
      <c r="B607" s="35"/>
      <c r="C607" s="105"/>
      <c r="D607" s="39" t="str">
        <f t="shared" si="11"/>
        <v/>
      </c>
    </row>
    <row r="608" spans="1:4" x14ac:dyDescent="0.2">
      <c r="A608" s="37"/>
      <c r="B608" s="35"/>
      <c r="C608" s="105"/>
      <c r="D608" s="39" t="str">
        <f t="shared" si="11"/>
        <v/>
      </c>
    </row>
    <row r="609" spans="1:4" x14ac:dyDescent="0.2">
      <c r="A609" s="37"/>
      <c r="B609" s="35"/>
      <c r="C609" s="105"/>
      <c r="D609" s="39" t="str">
        <f t="shared" si="11"/>
        <v/>
      </c>
    </row>
    <row r="610" spans="1:4" x14ac:dyDescent="0.2">
      <c r="A610" s="37"/>
      <c r="B610" s="35"/>
      <c r="C610" s="105"/>
      <c r="D610" s="39" t="str">
        <f t="shared" si="11"/>
        <v/>
      </c>
    </row>
    <row r="611" spans="1:4" x14ac:dyDescent="0.2">
      <c r="A611" s="37"/>
      <c r="B611" s="35"/>
      <c r="C611" s="105"/>
      <c r="D611" s="39" t="str">
        <f t="shared" si="11"/>
        <v/>
      </c>
    </row>
    <row r="612" spans="1:4" x14ac:dyDescent="0.2">
      <c r="A612" s="37"/>
      <c r="B612" s="35"/>
      <c r="C612" s="105"/>
      <c r="D612" s="39" t="str">
        <f t="shared" si="11"/>
        <v/>
      </c>
    </row>
    <row r="613" spans="1:4" x14ac:dyDescent="0.2">
      <c r="A613" s="37"/>
      <c r="B613" s="35"/>
      <c r="C613" s="105"/>
      <c r="D613" s="39" t="str">
        <f t="shared" si="11"/>
        <v/>
      </c>
    </row>
    <row r="614" spans="1:4" x14ac:dyDescent="0.2">
      <c r="A614" s="37"/>
      <c r="B614" s="35"/>
      <c r="C614" s="105"/>
      <c r="D614" s="39" t="str">
        <f t="shared" si="11"/>
        <v/>
      </c>
    </row>
    <row r="615" spans="1:4" x14ac:dyDescent="0.2">
      <c r="A615" s="37"/>
      <c r="B615" s="35"/>
      <c r="C615" s="105"/>
      <c r="D615" s="39" t="str">
        <f t="shared" si="11"/>
        <v/>
      </c>
    </row>
    <row r="616" spans="1:4" x14ac:dyDescent="0.2">
      <c r="A616" s="37"/>
      <c r="B616" s="35"/>
      <c r="C616" s="105"/>
      <c r="D616" s="39" t="str">
        <f t="shared" si="11"/>
        <v/>
      </c>
    </row>
    <row r="617" spans="1:4" x14ac:dyDescent="0.2">
      <c r="A617" s="37"/>
      <c r="B617" s="35"/>
      <c r="C617" s="105"/>
      <c r="D617" s="39" t="str">
        <f t="shared" si="11"/>
        <v/>
      </c>
    </row>
    <row r="618" spans="1:4" x14ac:dyDescent="0.2">
      <c r="A618" s="37"/>
      <c r="B618" s="35"/>
      <c r="C618" s="105"/>
      <c r="D618" s="39" t="str">
        <f t="shared" si="11"/>
        <v/>
      </c>
    </row>
    <row r="619" spans="1:4" x14ac:dyDescent="0.2">
      <c r="A619" s="37"/>
      <c r="B619" s="35"/>
      <c r="C619" s="105"/>
      <c r="D619" s="39" t="str">
        <f t="shared" si="11"/>
        <v/>
      </c>
    </row>
    <row r="620" spans="1:4" x14ac:dyDescent="0.2">
      <c r="A620" s="37"/>
      <c r="B620" s="35"/>
      <c r="C620" s="105"/>
      <c r="D620" s="39" t="str">
        <f t="shared" si="11"/>
        <v/>
      </c>
    </row>
    <row r="621" spans="1:4" x14ac:dyDescent="0.2">
      <c r="A621" s="37"/>
      <c r="B621" s="35"/>
      <c r="C621" s="105"/>
      <c r="D621" s="39" t="str">
        <f t="shared" si="11"/>
        <v/>
      </c>
    </row>
    <row r="622" spans="1:4" x14ac:dyDescent="0.2">
      <c r="A622" s="37"/>
      <c r="B622" s="35"/>
      <c r="C622" s="105"/>
      <c r="D622" s="39" t="str">
        <f t="shared" si="11"/>
        <v/>
      </c>
    </row>
    <row r="623" spans="1:4" x14ac:dyDescent="0.2">
      <c r="A623" s="37"/>
      <c r="B623" s="35"/>
      <c r="C623" s="105"/>
      <c r="D623" s="39" t="str">
        <f t="shared" si="11"/>
        <v/>
      </c>
    </row>
    <row r="624" spans="1:4" x14ac:dyDescent="0.2">
      <c r="A624" s="37"/>
      <c r="B624" s="35"/>
      <c r="C624" s="105"/>
      <c r="D624" s="39" t="str">
        <f t="shared" si="11"/>
        <v/>
      </c>
    </row>
    <row r="625" spans="1:4" x14ac:dyDescent="0.2">
      <c r="A625" s="37"/>
      <c r="B625" s="35"/>
      <c r="C625" s="105"/>
      <c r="D625" s="39" t="str">
        <f t="shared" si="11"/>
        <v/>
      </c>
    </row>
    <row r="626" spans="1:4" x14ac:dyDescent="0.2">
      <c r="A626" s="37"/>
      <c r="B626" s="35"/>
      <c r="C626" s="105"/>
      <c r="D626" s="39" t="str">
        <f t="shared" si="11"/>
        <v/>
      </c>
    </row>
    <row r="627" spans="1:4" x14ac:dyDescent="0.2">
      <c r="A627" s="37"/>
      <c r="B627" s="35"/>
      <c r="C627" s="105"/>
      <c r="D627" s="39" t="str">
        <f t="shared" si="11"/>
        <v/>
      </c>
    </row>
    <row r="628" spans="1:4" x14ac:dyDescent="0.2">
      <c r="A628" s="37"/>
      <c r="B628" s="35"/>
      <c r="C628" s="105"/>
      <c r="D628" s="39" t="str">
        <f t="shared" si="11"/>
        <v/>
      </c>
    </row>
    <row r="629" spans="1:4" x14ac:dyDescent="0.2">
      <c r="A629" s="37"/>
      <c r="B629" s="35"/>
      <c r="C629" s="105"/>
      <c r="D629" s="39" t="str">
        <f t="shared" si="11"/>
        <v/>
      </c>
    </row>
    <row r="630" spans="1:4" x14ac:dyDescent="0.2">
      <c r="A630" s="37"/>
      <c r="B630" s="35"/>
      <c r="C630" s="105"/>
      <c r="D630" s="39" t="str">
        <f t="shared" si="11"/>
        <v/>
      </c>
    </row>
    <row r="631" spans="1:4" x14ac:dyDescent="0.2">
      <c r="A631" s="37"/>
      <c r="B631" s="35"/>
      <c r="C631" s="105"/>
      <c r="D631" s="39" t="str">
        <f t="shared" si="11"/>
        <v/>
      </c>
    </row>
    <row r="632" spans="1:4" x14ac:dyDescent="0.2">
      <c r="A632" s="37"/>
      <c r="B632" s="35"/>
      <c r="C632" s="105"/>
      <c r="D632" s="39" t="str">
        <f t="shared" si="11"/>
        <v/>
      </c>
    </row>
    <row r="633" spans="1:4" x14ac:dyDescent="0.2">
      <c r="A633" s="37"/>
      <c r="B633" s="35"/>
      <c r="C633" s="105"/>
      <c r="D633" s="39" t="str">
        <f t="shared" si="11"/>
        <v/>
      </c>
    </row>
    <row r="634" spans="1:4" x14ac:dyDescent="0.2">
      <c r="A634" s="37"/>
      <c r="B634" s="35"/>
      <c r="C634" s="105"/>
      <c r="D634" s="39" t="str">
        <f t="shared" si="11"/>
        <v/>
      </c>
    </row>
    <row r="635" spans="1:4" x14ac:dyDescent="0.2">
      <c r="A635" s="37"/>
      <c r="B635" s="35"/>
      <c r="C635" s="105"/>
      <c r="D635" s="39" t="str">
        <f t="shared" si="11"/>
        <v/>
      </c>
    </row>
    <row r="636" spans="1:4" x14ac:dyDescent="0.2">
      <c r="A636" s="37"/>
      <c r="B636" s="35"/>
      <c r="C636" s="105"/>
      <c r="D636" s="39" t="str">
        <f t="shared" si="11"/>
        <v/>
      </c>
    </row>
    <row r="637" spans="1:4" x14ac:dyDescent="0.2">
      <c r="A637" s="37"/>
      <c r="B637" s="35"/>
      <c r="C637" s="105"/>
      <c r="D637" s="39" t="str">
        <f t="shared" si="11"/>
        <v/>
      </c>
    </row>
    <row r="638" spans="1:4" x14ac:dyDescent="0.2">
      <c r="A638" s="37"/>
      <c r="B638" s="35"/>
      <c r="C638" s="105"/>
      <c r="D638" s="39" t="str">
        <f t="shared" si="11"/>
        <v/>
      </c>
    </row>
    <row r="639" spans="1:4" x14ac:dyDescent="0.2">
      <c r="A639" s="37"/>
      <c r="B639" s="35"/>
      <c r="C639" s="105"/>
      <c r="D639" s="39" t="str">
        <f t="shared" si="11"/>
        <v/>
      </c>
    </row>
    <row r="640" spans="1:4" x14ac:dyDescent="0.2">
      <c r="A640" s="37"/>
      <c r="B640" s="35"/>
      <c r="C640" s="105"/>
      <c r="D640" s="39" t="str">
        <f t="shared" si="11"/>
        <v/>
      </c>
    </row>
    <row r="641" spans="1:4" x14ac:dyDescent="0.2">
      <c r="A641" s="37"/>
      <c r="B641" s="35"/>
      <c r="C641" s="105"/>
      <c r="D641" s="39" t="str">
        <f t="shared" si="11"/>
        <v/>
      </c>
    </row>
    <row r="642" spans="1:4" x14ac:dyDescent="0.2">
      <c r="A642" s="37"/>
      <c r="B642" s="35"/>
      <c r="C642" s="105"/>
      <c r="D642" s="39" t="str">
        <f t="shared" si="11"/>
        <v/>
      </c>
    </row>
    <row r="643" spans="1:4" x14ac:dyDescent="0.2">
      <c r="A643" s="37"/>
      <c r="B643" s="35"/>
      <c r="C643" s="105"/>
      <c r="D643" s="39" t="str">
        <f t="shared" si="11"/>
        <v/>
      </c>
    </row>
    <row r="644" spans="1:4" x14ac:dyDescent="0.2">
      <c r="A644" s="37"/>
      <c r="B644" s="35"/>
      <c r="C644" s="105"/>
      <c r="D644" s="39" t="str">
        <f t="shared" si="11"/>
        <v/>
      </c>
    </row>
    <row r="645" spans="1:4" x14ac:dyDescent="0.2">
      <c r="A645" s="37"/>
      <c r="B645" s="35"/>
      <c r="C645" s="105"/>
      <c r="D645" s="39" t="str">
        <f t="shared" si="11"/>
        <v/>
      </c>
    </row>
    <row r="646" spans="1:4" x14ac:dyDescent="0.2">
      <c r="A646" s="37"/>
      <c r="B646" s="35"/>
      <c r="C646" s="105"/>
      <c r="D646" s="39" t="str">
        <f t="shared" si="11"/>
        <v/>
      </c>
    </row>
    <row r="647" spans="1:4" x14ac:dyDescent="0.2">
      <c r="A647" s="37"/>
      <c r="B647" s="35"/>
      <c r="C647" s="105"/>
      <c r="D647" s="39" t="str">
        <f t="shared" si="11"/>
        <v/>
      </c>
    </row>
    <row r="648" spans="1:4" x14ac:dyDescent="0.2">
      <c r="A648" s="37"/>
      <c r="B648" s="35"/>
      <c r="C648" s="105"/>
      <c r="D648" s="39" t="str">
        <f t="shared" si="11"/>
        <v/>
      </c>
    </row>
    <row r="649" spans="1:4" x14ac:dyDescent="0.2">
      <c r="A649" s="37"/>
      <c r="B649" s="35"/>
      <c r="C649" s="105"/>
      <c r="D649" s="39" t="str">
        <f t="shared" si="11"/>
        <v/>
      </c>
    </row>
    <row r="650" spans="1:4" x14ac:dyDescent="0.2">
      <c r="A650" s="37"/>
      <c r="B650" s="35"/>
      <c r="C650" s="105"/>
      <c r="D650" s="39" t="str">
        <f t="shared" si="11"/>
        <v/>
      </c>
    </row>
    <row r="651" spans="1:4" x14ac:dyDescent="0.2">
      <c r="A651" s="37"/>
      <c r="B651" s="35"/>
      <c r="C651" s="105"/>
      <c r="D651" s="39" t="str">
        <f t="shared" si="11"/>
        <v/>
      </c>
    </row>
    <row r="652" spans="1:4" x14ac:dyDescent="0.2">
      <c r="A652" s="37"/>
      <c r="B652" s="35"/>
      <c r="C652" s="105"/>
      <c r="D652" s="39" t="str">
        <f t="shared" si="11"/>
        <v/>
      </c>
    </row>
    <row r="653" spans="1:4" x14ac:dyDescent="0.2">
      <c r="A653" s="37"/>
      <c r="B653" s="35"/>
      <c r="C653" s="105"/>
      <c r="D653" s="39" t="str">
        <f t="shared" si="11"/>
        <v/>
      </c>
    </row>
    <row r="654" spans="1:4" x14ac:dyDescent="0.2">
      <c r="A654" s="37"/>
      <c r="B654" s="35"/>
      <c r="C654" s="105"/>
      <c r="D654" s="39" t="str">
        <f t="shared" si="11"/>
        <v/>
      </c>
    </row>
    <row r="655" spans="1:4" x14ac:dyDescent="0.2">
      <c r="A655" s="37"/>
      <c r="B655" s="35"/>
      <c r="C655" s="105"/>
      <c r="D655" s="39" t="str">
        <f t="shared" si="11"/>
        <v/>
      </c>
    </row>
    <row r="656" spans="1:4" x14ac:dyDescent="0.2">
      <c r="A656" s="37"/>
      <c r="B656" s="35"/>
      <c r="C656" s="105"/>
      <c r="D656" s="39" t="str">
        <f t="shared" si="11"/>
        <v/>
      </c>
    </row>
    <row r="657" spans="1:4" x14ac:dyDescent="0.2">
      <c r="A657" s="37"/>
      <c r="B657" s="35"/>
      <c r="C657" s="105"/>
      <c r="D657" s="39" t="str">
        <f t="shared" si="11"/>
        <v/>
      </c>
    </row>
    <row r="658" spans="1:4" x14ac:dyDescent="0.2">
      <c r="A658" s="37"/>
      <c r="B658" s="35"/>
      <c r="C658" s="105"/>
      <c r="D658" s="39" t="str">
        <f t="shared" si="11"/>
        <v/>
      </c>
    </row>
    <row r="659" spans="1:4" x14ac:dyDescent="0.2">
      <c r="A659" s="37"/>
      <c r="B659" s="35"/>
      <c r="C659" s="105"/>
      <c r="D659" s="39" t="str">
        <f t="shared" si="11"/>
        <v/>
      </c>
    </row>
    <row r="660" spans="1:4" x14ac:dyDescent="0.2">
      <c r="A660" s="37"/>
      <c r="B660" s="35"/>
      <c r="C660" s="105"/>
      <c r="D660" s="39" t="str">
        <f t="shared" si="11"/>
        <v/>
      </c>
    </row>
    <row r="661" spans="1:4" x14ac:dyDescent="0.2">
      <c r="A661" s="37"/>
      <c r="B661" s="35"/>
      <c r="C661" s="105"/>
      <c r="D661" s="39" t="str">
        <f t="shared" si="11"/>
        <v/>
      </c>
    </row>
    <row r="662" spans="1:4" x14ac:dyDescent="0.2">
      <c r="A662" s="37"/>
      <c r="B662" s="35"/>
      <c r="C662" s="105"/>
      <c r="D662" s="39" t="str">
        <f t="shared" si="11"/>
        <v/>
      </c>
    </row>
    <row r="663" spans="1:4" x14ac:dyDescent="0.2">
      <c r="A663" s="37"/>
      <c r="B663" s="35"/>
      <c r="C663" s="105"/>
      <c r="D663" s="39" t="str">
        <f t="shared" si="11"/>
        <v/>
      </c>
    </row>
    <row r="664" spans="1:4" x14ac:dyDescent="0.2">
      <c r="A664" s="37"/>
      <c r="B664" s="35"/>
      <c r="C664" s="105"/>
      <c r="D664" s="39" t="str">
        <f t="shared" si="11"/>
        <v/>
      </c>
    </row>
    <row r="665" spans="1:4" x14ac:dyDescent="0.2">
      <c r="A665" s="37"/>
      <c r="B665" s="35"/>
      <c r="C665" s="105"/>
      <c r="D665" s="39" t="str">
        <f t="shared" si="11"/>
        <v/>
      </c>
    </row>
    <row r="666" spans="1:4" x14ac:dyDescent="0.2">
      <c r="A666" s="37"/>
      <c r="B666" s="35"/>
      <c r="C666" s="105"/>
      <c r="D666" s="39" t="str">
        <f t="shared" ref="D666:D674" si="12">IFERROR(IF(C666&lt;&gt;"",C666*70, ""), "")</f>
        <v/>
      </c>
    </row>
    <row r="667" spans="1:4" x14ac:dyDescent="0.2">
      <c r="A667" s="37"/>
      <c r="B667" s="35"/>
      <c r="C667" s="105"/>
      <c r="D667" s="39" t="str">
        <f t="shared" si="12"/>
        <v/>
      </c>
    </row>
    <row r="668" spans="1:4" x14ac:dyDescent="0.2">
      <c r="A668" s="37"/>
      <c r="B668" s="35"/>
      <c r="C668" s="105"/>
      <c r="D668" s="39" t="str">
        <f t="shared" si="12"/>
        <v/>
      </c>
    </row>
    <row r="669" spans="1:4" x14ac:dyDescent="0.2">
      <c r="A669" s="37"/>
      <c r="B669" s="35"/>
      <c r="C669" s="105"/>
      <c r="D669" s="39" t="str">
        <f t="shared" si="12"/>
        <v/>
      </c>
    </row>
    <row r="670" spans="1:4" x14ac:dyDescent="0.2">
      <c r="A670" s="37"/>
      <c r="B670" s="35"/>
      <c r="C670" s="105"/>
      <c r="D670" s="39" t="str">
        <f t="shared" si="12"/>
        <v/>
      </c>
    </row>
    <row r="671" spans="1:4" x14ac:dyDescent="0.2">
      <c r="A671" s="37"/>
      <c r="B671" s="35"/>
      <c r="C671" s="105"/>
      <c r="D671" s="39" t="str">
        <f t="shared" si="12"/>
        <v/>
      </c>
    </row>
    <row r="672" spans="1:4" x14ac:dyDescent="0.2">
      <c r="A672" s="37"/>
      <c r="B672" s="35"/>
      <c r="C672" s="105"/>
      <c r="D672" s="39" t="str">
        <f t="shared" si="12"/>
        <v/>
      </c>
    </row>
    <row r="673" spans="1:4" x14ac:dyDescent="0.2">
      <c r="A673" s="37"/>
      <c r="B673" s="35"/>
      <c r="C673" s="105"/>
      <c r="D673" s="39" t="str">
        <f t="shared" si="12"/>
        <v/>
      </c>
    </row>
    <row r="674" spans="1:4" x14ac:dyDescent="0.2">
      <c r="A674" s="37"/>
      <c r="B674" s="35"/>
      <c r="C674" s="105"/>
      <c r="D674" s="39" t="str">
        <f t="shared" si="12"/>
        <v/>
      </c>
    </row>
  </sheetData>
  <mergeCells count="2">
    <mergeCell ref="F1:H1"/>
    <mergeCell ref="J1:L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9217" r:id="rId4" name="CommandButton1">
          <controlPr defaultSize="0" autoLine="0" r:id="rId5">
            <anchor moveWithCells="1">
              <from>
                <xdr:col>13</xdr:col>
                <xdr:colOff>419100</xdr:colOff>
                <xdr:row>0</xdr:row>
                <xdr:rowOff>409575</xdr:rowOff>
              </from>
              <to>
                <xdr:col>16</xdr:col>
                <xdr:colOff>152400</xdr:colOff>
                <xdr:row>0</xdr:row>
                <xdr:rowOff>942975</xdr:rowOff>
              </to>
            </anchor>
          </controlPr>
        </control>
      </mc:Choice>
      <mc:Fallback>
        <control shapeId="9217"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53F5A-2302-4460-89EE-B5416182383F}">
  <sheetPr codeName="Sheet9"/>
  <dimension ref="A1:Z847"/>
  <sheetViews>
    <sheetView showGridLines="0" zoomScaleNormal="100" workbookViewId="0">
      <selection activeCell="T27" sqref="T27"/>
    </sheetView>
  </sheetViews>
  <sheetFormatPr defaultRowHeight="15" x14ac:dyDescent="0.25"/>
  <cols>
    <col min="1" max="1" width="11.28515625" bestFit="1" customWidth="1"/>
    <col min="2" max="2" width="7.7109375" bestFit="1" customWidth="1"/>
    <col min="4" max="4" width="9" bestFit="1" customWidth="1"/>
    <col min="5" max="5" width="7.140625" customWidth="1"/>
    <col min="6" max="6" width="12.28515625" customWidth="1"/>
    <col min="15" max="15" width="12.140625" bestFit="1" customWidth="1"/>
    <col min="17" max="17" width="15.28515625" customWidth="1"/>
    <col min="18" max="18" width="9.7109375" customWidth="1"/>
    <col min="21" max="21" width="9.140625" customWidth="1"/>
    <col min="22" max="22" width="11.140625" customWidth="1"/>
    <col min="23" max="23" width="12.85546875" customWidth="1"/>
    <col min="24" max="24" width="15.140625" customWidth="1"/>
    <col min="25" max="25" width="13.85546875" customWidth="1"/>
  </cols>
  <sheetData>
    <row r="1" spans="1:25" ht="15.75" thickBot="1" x14ac:dyDescent="0.3">
      <c r="A1" s="22" t="s">
        <v>23</v>
      </c>
      <c r="B1" s="22" t="s">
        <v>38</v>
      </c>
      <c r="C1" s="22" t="s">
        <v>26</v>
      </c>
      <c r="D1" s="22" t="s">
        <v>24</v>
      </c>
      <c r="E1" s="22" t="s">
        <v>16</v>
      </c>
      <c r="F1" s="22" t="s">
        <v>25</v>
      </c>
      <c r="H1" s="67"/>
      <c r="I1" s="68"/>
      <c r="J1" s="69"/>
    </row>
    <row r="2" spans="1:25" x14ac:dyDescent="0.25">
      <c r="A2" s="29">
        <v>45977</v>
      </c>
      <c r="B2" s="23">
        <v>6</v>
      </c>
      <c r="C2" s="23" t="s">
        <v>27</v>
      </c>
      <c r="D2" s="24">
        <v>7.1</v>
      </c>
      <c r="E2" s="24">
        <v>6.2</v>
      </c>
      <c r="F2" s="43">
        <v>330.15</v>
      </c>
      <c r="H2" s="70"/>
      <c r="J2" s="71"/>
      <c r="N2" s="210" t="s">
        <v>65</v>
      </c>
      <c r="O2" s="211"/>
      <c r="P2" s="211"/>
      <c r="Q2" s="212"/>
      <c r="V2" s="102" t="s">
        <v>69</v>
      </c>
      <c r="W2" s="100">
        <f>INDEX!G6</f>
        <v>45977</v>
      </c>
    </row>
    <row r="3" spans="1:25" ht="15.75" thickBot="1" x14ac:dyDescent="0.3">
      <c r="A3" s="29">
        <v>45984</v>
      </c>
      <c r="B3" s="23">
        <v>6</v>
      </c>
      <c r="C3" s="23" t="s">
        <v>27</v>
      </c>
      <c r="D3" s="24">
        <v>6.9</v>
      </c>
      <c r="E3" s="24">
        <v>6</v>
      </c>
      <c r="F3" s="43">
        <v>310.5</v>
      </c>
      <c r="H3" s="70"/>
      <c r="J3" s="71"/>
      <c r="N3" s="213"/>
      <c r="O3" s="214"/>
      <c r="P3" s="214"/>
      <c r="Q3" s="215"/>
      <c r="V3" s="103" t="s">
        <v>70</v>
      </c>
      <c r="W3" s="101">
        <f>INDEX!H6</f>
        <v>45991</v>
      </c>
    </row>
    <row r="4" spans="1:25" ht="15.75" thickBot="1" x14ac:dyDescent="0.3">
      <c r="A4" s="29">
        <v>45978</v>
      </c>
      <c r="B4" s="23">
        <v>8</v>
      </c>
      <c r="C4" s="23" t="s">
        <v>37</v>
      </c>
      <c r="D4" s="24">
        <v>6.9</v>
      </c>
      <c r="E4" s="24">
        <v>6.4</v>
      </c>
      <c r="F4" s="43">
        <v>331.20000000000005</v>
      </c>
      <c r="H4" s="72"/>
      <c r="I4" s="73"/>
      <c r="J4" s="74"/>
    </row>
    <row r="5" spans="1:25" x14ac:dyDescent="0.25">
      <c r="A5" s="29">
        <v>45979</v>
      </c>
      <c r="B5" s="23">
        <v>8</v>
      </c>
      <c r="C5" s="23" t="s">
        <v>37</v>
      </c>
      <c r="D5" s="24">
        <v>7</v>
      </c>
      <c r="E5" s="24">
        <v>6</v>
      </c>
      <c r="F5" s="43">
        <v>315</v>
      </c>
      <c r="L5" s="63" t="s">
        <v>48</v>
      </c>
      <c r="M5" s="186" t="s">
        <v>44</v>
      </c>
      <c r="N5" s="186"/>
      <c r="O5" s="186"/>
      <c r="P5" s="63" t="s">
        <v>49</v>
      </c>
      <c r="Q5" s="63" t="s">
        <v>25</v>
      </c>
      <c r="R5" s="63" t="s">
        <v>55</v>
      </c>
      <c r="T5" s="63" t="s">
        <v>48</v>
      </c>
      <c r="U5" s="186" t="s">
        <v>44</v>
      </c>
      <c r="V5" s="186"/>
      <c r="W5" s="186"/>
      <c r="X5" s="63" t="s">
        <v>49</v>
      </c>
      <c r="Y5" s="63" t="s">
        <v>25</v>
      </c>
    </row>
    <row r="6" spans="1:25" ht="16.5" x14ac:dyDescent="0.25">
      <c r="A6" s="29">
        <v>45980</v>
      </c>
      <c r="B6" s="23">
        <v>8</v>
      </c>
      <c r="C6" s="23" t="s">
        <v>37</v>
      </c>
      <c r="D6" s="24">
        <v>7.6</v>
      </c>
      <c r="E6" s="24">
        <v>6.4</v>
      </c>
      <c r="F6" s="43">
        <v>364.79999999999995</v>
      </c>
      <c r="H6" s="53">
        <v>1</v>
      </c>
      <c r="I6" s="76">
        <f t="shared" ref="I6:I22" si="0">SUMIFS($D$2:$D$1001, $B$2:$B$1001,H6)</f>
        <v>0</v>
      </c>
      <c r="J6" s="53">
        <f>SUMIFS($D$2:$D$1001, $B$2:$B$1001,H6)</f>
        <v>0</v>
      </c>
      <c r="L6" s="59">
        <v>1</v>
      </c>
      <c r="M6" s="207" t="s">
        <v>2</v>
      </c>
      <c r="N6" s="207"/>
      <c r="O6" s="207"/>
      <c r="P6" s="97">
        <f>INDEX!F15</f>
        <v>170.79999999999998</v>
      </c>
      <c r="Q6" s="60">
        <f>INDEX!G15</f>
        <v>10060.35</v>
      </c>
      <c r="R6" s="75">
        <f>IFERROR(1*Q6/P6, "")</f>
        <v>58.901346604215462</v>
      </c>
      <c r="T6" s="59">
        <v>1</v>
      </c>
      <c r="U6" s="207" t="s">
        <v>2</v>
      </c>
      <c r="V6" s="207"/>
      <c r="W6" s="207"/>
      <c r="X6" s="60">
        <f t="shared" ref="X6:X14" si="1">P6-I6</f>
        <v>170.79999999999998</v>
      </c>
      <c r="Y6" s="60">
        <f>IFERROR(X6*R6, "")</f>
        <v>10060.35</v>
      </c>
    </row>
    <row r="7" spans="1:25" ht="16.5" x14ac:dyDescent="0.25">
      <c r="A7" s="29">
        <v>45982</v>
      </c>
      <c r="B7" s="23">
        <v>8</v>
      </c>
      <c r="C7" s="23" t="s">
        <v>37</v>
      </c>
      <c r="D7" s="24">
        <v>7.2</v>
      </c>
      <c r="E7" s="24">
        <v>6.2</v>
      </c>
      <c r="F7" s="43">
        <v>334.8</v>
      </c>
      <c r="H7" s="53">
        <v>2</v>
      </c>
      <c r="I7" s="76">
        <f t="shared" si="0"/>
        <v>0</v>
      </c>
      <c r="J7" s="53">
        <f t="shared" ref="J7:J21" si="2">SUMIFS($D$2:$D$1001, $B$2:$B$1001,H7)</f>
        <v>0</v>
      </c>
      <c r="L7" s="59">
        <v>2</v>
      </c>
      <c r="M7" s="207" t="s">
        <v>3</v>
      </c>
      <c r="N7" s="207"/>
      <c r="O7" s="207"/>
      <c r="P7" s="97">
        <f>INDEX!F16</f>
        <v>18.2</v>
      </c>
      <c r="Q7" s="60">
        <f>INDEX!G16</f>
        <v>1321.2</v>
      </c>
      <c r="R7" s="75">
        <f>IFERROR(1*Q7/P7, "")</f>
        <v>72.593406593406598</v>
      </c>
      <c r="T7" s="59">
        <v>2</v>
      </c>
      <c r="U7" s="207" t="s">
        <v>3</v>
      </c>
      <c r="V7" s="207"/>
      <c r="W7" s="207"/>
      <c r="X7" s="60">
        <f>P7-I7</f>
        <v>18.2</v>
      </c>
      <c r="Y7" s="60">
        <f t="shared" ref="Y7:Y21" si="3">IFERROR(X7*R7, "")</f>
        <v>1321.2</v>
      </c>
    </row>
    <row r="8" spans="1:25" ht="16.5" x14ac:dyDescent="0.25">
      <c r="A8" s="29">
        <v>45985</v>
      </c>
      <c r="B8" s="23">
        <v>8</v>
      </c>
      <c r="C8" s="23" t="s">
        <v>37</v>
      </c>
      <c r="D8" s="24">
        <v>6.7</v>
      </c>
      <c r="E8" s="24">
        <v>6.4</v>
      </c>
      <c r="F8" s="43">
        <v>321.60000000000002</v>
      </c>
      <c r="H8" s="53">
        <v>3</v>
      </c>
      <c r="I8" s="76">
        <f t="shared" si="0"/>
        <v>0</v>
      </c>
      <c r="J8" s="53">
        <f t="shared" si="2"/>
        <v>0</v>
      </c>
      <c r="L8" s="59">
        <v>3</v>
      </c>
      <c r="M8" s="207" t="s">
        <v>4</v>
      </c>
      <c r="N8" s="207"/>
      <c r="O8" s="207"/>
      <c r="P8" s="97">
        <f>INDEX!F17</f>
        <v>131.10000000000002</v>
      </c>
      <c r="Q8" s="60">
        <f>INDEX!G17</f>
        <v>6888.5250000000015</v>
      </c>
      <c r="R8" s="75">
        <f t="shared" ref="R8:R20" si="4">IFERROR(1*Q8/P8, "")</f>
        <v>52.544050343249431</v>
      </c>
      <c r="T8" s="59">
        <v>3</v>
      </c>
      <c r="U8" s="207" t="s">
        <v>4</v>
      </c>
      <c r="V8" s="207"/>
      <c r="W8" s="207"/>
      <c r="X8" s="60">
        <f t="shared" si="1"/>
        <v>131.10000000000002</v>
      </c>
      <c r="Y8" s="60">
        <f t="shared" si="3"/>
        <v>6888.5250000000015</v>
      </c>
    </row>
    <row r="9" spans="1:25" ht="16.5" x14ac:dyDescent="0.25">
      <c r="A9" s="29">
        <v>45987</v>
      </c>
      <c r="B9" s="23">
        <v>8</v>
      </c>
      <c r="C9" s="23" t="s">
        <v>37</v>
      </c>
      <c r="D9" s="24">
        <v>6.8</v>
      </c>
      <c r="E9" s="24">
        <v>6.4</v>
      </c>
      <c r="F9" s="43">
        <v>326.39999999999998</v>
      </c>
      <c r="H9" s="53">
        <v>4</v>
      </c>
      <c r="I9" s="76">
        <f t="shared" si="0"/>
        <v>0</v>
      </c>
      <c r="J9" s="53">
        <f t="shared" si="2"/>
        <v>0</v>
      </c>
      <c r="L9" s="59">
        <v>4</v>
      </c>
      <c r="M9" s="207" t="s">
        <v>5</v>
      </c>
      <c r="N9" s="207"/>
      <c r="O9" s="207"/>
      <c r="P9" s="97">
        <f>INDEX!F18</f>
        <v>432.40000000000003</v>
      </c>
      <c r="Q9" s="60">
        <f>INDEX!G18</f>
        <v>20859.224999999999</v>
      </c>
      <c r="R9" s="75">
        <f t="shared" si="4"/>
        <v>48.240575855689173</v>
      </c>
      <c r="T9" s="59">
        <v>4</v>
      </c>
      <c r="U9" s="207" t="s">
        <v>5</v>
      </c>
      <c r="V9" s="207"/>
      <c r="W9" s="207"/>
      <c r="X9" s="60">
        <f t="shared" si="1"/>
        <v>432.40000000000003</v>
      </c>
      <c r="Y9" s="60">
        <f t="shared" si="3"/>
        <v>20859.224999999999</v>
      </c>
    </row>
    <row r="10" spans="1:25" ht="16.5" x14ac:dyDescent="0.25">
      <c r="A10" s="29">
        <v>45989</v>
      </c>
      <c r="B10" s="23">
        <v>8</v>
      </c>
      <c r="C10" s="23" t="s">
        <v>37</v>
      </c>
      <c r="D10" s="24">
        <v>6.6</v>
      </c>
      <c r="E10" s="24">
        <v>6.4</v>
      </c>
      <c r="F10" s="43">
        <v>316.79999999999995</v>
      </c>
      <c r="H10" s="53">
        <v>5</v>
      </c>
      <c r="I10" s="76">
        <f t="shared" si="0"/>
        <v>0</v>
      </c>
      <c r="J10" s="53">
        <f t="shared" si="2"/>
        <v>0</v>
      </c>
      <c r="L10" s="59">
        <v>5</v>
      </c>
      <c r="M10" s="207" t="s">
        <v>6</v>
      </c>
      <c r="N10" s="207"/>
      <c r="O10" s="207"/>
      <c r="P10" s="97">
        <f>INDEX!F19</f>
        <v>27.9</v>
      </c>
      <c r="Q10" s="60">
        <f>INDEX!G19</f>
        <v>2092.5</v>
      </c>
      <c r="R10" s="75">
        <f t="shared" si="4"/>
        <v>75</v>
      </c>
      <c r="T10" s="59">
        <v>5</v>
      </c>
      <c r="U10" s="207" t="s">
        <v>6</v>
      </c>
      <c r="V10" s="207"/>
      <c r="W10" s="207"/>
      <c r="X10" s="60">
        <f t="shared" si="1"/>
        <v>27.9</v>
      </c>
      <c r="Y10" s="60">
        <f t="shared" si="3"/>
        <v>2092.5</v>
      </c>
    </row>
    <row r="11" spans="1:25" ht="16.5" x14ac:dyDescent="0.25">
      <c r="A11" s="29">
        <v>45989</v>
      </c>
      <c r="B11" s="23">
        <v>8</v>
      </c>
      <c r="C11" s="23" t="s">
        <v>27</v>
      </c>
      <c r="D11" s="24">
        <v>6.4</v>
      </c>
      <c r="E11" s="24">
        <v>6</v>
      </c>
      <c r="F11" s="43">
        <v>288</v>
      </c>
      <c r="H11" s="53">
        <v>6</v>
      </c>
      <c r="I11" s="153">
        <v>0</v>
      </c>
      <c r="J11" s="53">
        <f t="shared" si="2"/>
        <v>14</v>
      </c>
      <c r="L11" s="59">
        <v>6</v>
      </c>
      <c r="M11" s="207" t="s">
        <v>7</v>
      </c>
      <c r="N11" s="207"/>
      <c r="O11" s="207"/>
      <c r="P11" s="97">
        <f>INDEX!F20</f>
        <v>282</v>
      </c>
      <c r="Q11" s="60">
        <f>INDEX!G20</f>
        <v>14513.924999999996</v>
      </c>
      <c r="R11" s="75">
        <f t="shared" si="4"/>
        <v>51.467819148936158</v>
      </c>
      <c r="T11" s="59">
        <v>6</v>
      </c>
      <c r="U11" s="207" t="s">
        <v>7</v>
      </c>
      <c r="V11" s="207"/>
      <c r="W11" s="207"/>
      <c r="X11" s="60">
        <f t="shared" si="1"/>
        <v>282</v>
      </c>
      <c r="Y11" s="60">
        <f t="shared" si="3"/>
        <v>14513.924999999997</v>
      </c>
    </row>
    <row r="12" spans="1:25" ht="16.5" x14ac:dyDescent="0.25">
      <c r="A12" s="29">
        <v>45978</v>
      </c>
      <c r="B12" s="23">
        <v>12</v>
      </c>
      <c r="C12" s="23" t="s">
        <v>27</v>
      </c>
      <c r="D12" s="24">
        <v>3.7</v>
      </c>
      <c r="E12" s="24">
        <v>5.5</v>
      </c>
      <c r="F12" s="43">
        <v>152.625</v>
      </c>
      <c r="H12" s="53">
        <v>7</v>
      </c>
      <c r="I12" s="76">
        <f t="shared" si="0"/>
        <v>0</v>
      </c>
      <c r="J12" s="53">
        <f t="shared" si="2"/>
        <v>0</v>
      </c>
      <c r="L12" s="59">
        <v>7</v>
      </c>
      <c r="M12" s="207" t="s">
        <v>8</v>
      </c>
      <c r="N12" s="207"/>
      <c r="O12" s="207"/>
      <c r="P12" s="97">
        <f>INDEX!F21</f>
        <v>36.200000000000003</v>
      </c>
      <c r="Q12" s="60">
        <f>INDEX!G21</f>
        <v>2006.7750000000001</v>
      </c>
      <c r="R12" s="75">
        <f t="shared" si="4"/>
        <v>55.435773480662981</v>
      </c>
      <c r="T12" s="59">
        <v>7</v>
      </c>
      <c r="U12" s="207" t="s">
        <v>8</v>
      </c>
      <c r="V12" s="207"/>
      <c r="W12" s="207"/>
      <c r="X12" s="60">
        <f t="shared" si="1"/>
        <v>36.200000000000003</v>
      </c>
      <c r="Y12" s="60">
        <f t="shared" si="3"/>
        <v>2006.7750000000001</v>
      </c>
    </row>
    <row r="13" spans="1:25" ht="16.5" x14ac:dyDescent="0.25">
      <c r="A13" s="29">
        <v>45979</v>
      </c>
      <c r="B13" s="23">
        <v>12</v>
      </c>
      <c r="C13" s="23" t="s">
        <v>27</v>
      </c>
      <c r="D13" s="24">
        <v>2.9</v>
      </c>
      <c r="E13" s="24">
        <v>5.7</v>
      </c>
      <c r="F13" s="43">
        <v>123.97499999999999</v>
      </c>
      <c r="H13" s="53">
        <v>8</v>
      </c>
      <c r="I13" s="153">
        <v>51</v>
      </c>
      <c r="J13" s="53">
        <f t="shared" si="2"/>
        <v>55.199999999999996</v>
      </c>
      <c r="L13" s="59">
        <v>8</v>
      </c>
      <c r="M13" s="207" t="s">
        <v>9</v>
      </c>
      <c r="N13" s="207"/>
      <c r="O13" s="207"/>
      <c r="P13" s="97">
        <f>INDEX!F22</f>
        <v>195.10000000000005</v>
      </c>
      <c r="Q13" s="60">
        <f>INDEX!G22</f>
        <v>9223.125</v>
      </c>
      <c r="R13" s="75">
        <f t="shared" si="4"/>
        <v>47.273833931317263</v>
      </c>
      <c r="T13" s="59">
        <v>8</v>
      </c>
      <c r="U13" s="207" t="s">
        <v>9</v>
      </c>
      <c r="V13" s="207"/>
      <c r="W13" s="207"/>
      <c r="X13" s="60">
        <f t="shared" si="1"/>
        <v>144.10000000000005</v>
      </c>
      <c r="Y13" s="60">
        <f t="shared" si="3"/>
        <v>6812.1594695028198</v>
      </c>
    </row>
    <row r="14" spans="1:25" ht="16.5" x14ac:dyDescent="0.25">
      <c r="A14" s="29">
        <v>45980</v>
      </c>
      <c r="B14" s="23">
        <v>12</v>
      </c>
      <c r="C14" s="23" t="s">
        <v>27</v>
      </c>
      <c r="D14" s="24">
        <v>2.8</v>
      </c>
      <c r="E14" s="24">
        <v>5.5</v>
      </c>
      <c r="F14" s="43">
        <v>115.49999999999999</v>
      </c>
      <c r="H14" s="53">
        <v>9</v>
      </c>
      <c r="I14" s="76">
        <f t="shared" si="0"/>
        <v>0</v>
      </c>
      <c r="J14" s="53">
        <f t="shared" si="2"/>
        <v>0</v>
      </c>
      <c r="L14" s="59">
        <v>9</v>
      </c>
      <c r="M14" s="207" t="s">
        <v>66</v>
      </c>
      <c r="N14" s="207"/>
      <c r="O14" s="207"/>
      <c r="P14" s="97">
        <f>INDEX!F23</f>
        <v>28.099999999999994</v>
      </c>
      <c r="Q14" s="60">
        <f>INDEX!G23</f>
        <v>1811.7749999999999</v>
      </c>
      <c r="R14" s="75">
        <f t="shared" si="4"/>
        <v>64.475978647686844</v>
      </c>
      <c r="T14" s="59">
        <v>9</v>
      </c>
      <c r="U14" s="207" t="s">
        <v>66</v>
      </c>
      <c r="V14" s="207"/>
      <c r="W14" s="207"/>
      <c r="X14" s="60">
        <f t="shared" si="1"/>
        <v>28.099999999999994</v>
      </c>
      <c r="Y14" s="60">
        <f t="shared" si="3"/>
        <v>1811.7749999999999</v>
      </c>
    </row>
    <row r="15" spans="1:25" ht="16.5" x14ac:dyDescent="0.25">
      <c r="A15" s="29">
        <v>45981</v>
      </c>
      <c r="B15" s="23">
        <v>12</v>
      </c>
      <c r="C15" s="23" t="s">
        <v>37</v>
      </c>
      <c r="D15" s="24">
        <v>4.3</v>
      </c>
      <c r="E15" s="24">
        <v>6</v>
      </c>
      <c r="F15" s="43">
        <v>193.5</v>
      </c>
      <c r="H15" s="53">
        <v>10</v>
      </c>
      <c r="I15" s="76">
        <f t="shared" si="0"/>
        <v>0</v>
      </c>
      <c r="J15" s="53">
        <f t="shared" si="2"/>
        <v>0</v>
      </c>
      <c r="L15" s="59">
        <v>10</v>
      </c>
      <c r="M15" s="207" t="s">
        <v>10</v>
      </c>
      <c r="N15" s="207"/>
      <c r="O15" s="207"/>
      <c r="P15" s="97">
        <f>INDEX!F24</f>
        <v>195.1</v>
      </c>
      <c r="Q15" s="60">
        <f>INDEX!G24</f>
        <v>11647.424999999999</v>
      </c>
      <c r="R15" s="75">
        <f>IFERROR(1*Q15/P15, "")</f>
        <v>59.699769349051763</v>
      </c>
      <c r="T15" s="59">
        <v>10</v>
      </c>
      <c r="U15" s="207" t="s">
        <v>10</v>
      </c>
      <c r="V15" s="207"/>
      <c r="W15" s="207"/>
      <c r="X15" s="60">
        <f t="shared" ref="X15:X21" si="5">P15-I15</f>
        <v>195.1</v>
      </c>
      <c r="Y15" s="60">
        <f>IFERROR(X15*R15, "")</f>
        <v>11647.424999999999</v>
      </c>
    </row>
    <row r="16" spans="1:25" ht="16.5" x14ac:dyDescent="0.25">
      <c r="A16" s="29">
        <v>45981</v>
      </c>
      <c r="B16" s="23">
        <v>12</v>
      </c>
      <c r="C16" s="23" t="s">
        <v>27</v>
      </c>
      <c r="D16" s="24">
        <v>2.2000000000000002</v>
      </c>
      <c r="E16" s="24">
        <v>5.5</v>
      </c>
      <c r="F16" s="43">
        <v>90.750000000000014</v>
      </c>
      <c r="H16" s="53">
        <v>11</v>
      </c>
      <c r="I16" s="76">
        <f t="shared" si="0"/>
        <v>0</v>
      </c>
      <c r="J16" s="53">
        <f t="shared" si="2"/>
        <v>0</v>
      </c>
      <c r="L16" s="59">
        <v>11</v>
      </c>
      <c r="M16" s="207" t="s">
        <v>14</v>
      </c>
      <c r="N16" s="207"/>
      <c r="O16" s="207"/>
      <c r="P16" s="97">
        <f>INDEX!F25</f>
        <v>55.800000000000011</v>
      </c>
      <c r="Q16" s="60">
        <f>INDEX!G25</f>
        <v>3821.55</v>
      </c>
      <c r="R16" s="75">
        <f t="shared" si="4"/>
        <v>68.48655913978493</v>
      </c>
      <c r="T16" s="59">
        <v>11</v>
      </c>
      <c r="U16" s="207" t="s">
        <v>14</v>
      </c>
      <c r="V16" s="207"/>
      <c r="W16" s="207"/>
      <c r="X16" s="60">
        <f t="shared" si="5"/>
        <v>55.800000000000011</v>
      </c>
      <c r="Y16" s="60">
        <f t="shared" si="3"/>
        <v>3821.5499999999997</v>
      </c>
    </row>
    <row r="17" spans="1:26" ht="16.5" x14ac:dyDescent="0.25">
      <c r="A17" s="29">
        <v>45982</v>
      </c>
      <c r="B17" s="23">
        <v>12</v>
      </c>
      <c r="C17" s="23" t="s">
        <v>27</v>
      </c>
      <c r="D17" s="24">
        <v>1.4</v>
      </c>
      <c r="E17" s="24">
        <v>5.5</v>
      </c>
      <c r="F17" s="43">
        <v>57.749999999999993</v>
      </c>
      <c r="H17" s="53">
        <v>12</v>
      </c>
      <c r="I17" s="153">
        <v>0</v>
      </c>
      <c r="J17" s="53">
        <f t="shared" si="2"/>
        <v>25.499999999999996</v>
      </c>
      <c r="L17" s="59">
        <v>12</v>
      </c>
      <c r="M17" s="207" t="s">
        <v>11</v>
      </c>
      <c r="N17" s="207"/>
      <c r="O17" s="207"/>
      <c r="P17" s="97">
        <f>INDEX!F26</f>
        <v>108.80000000000004</v>
      </c>
      <c r="Q17" s="60">
        <f>INDEX!G26</f>
        <v>5142</v>
      </c>
      <c r="R17" s="75">
        <f t="shared" si="4"/>
        <v>47.261029411764689</v>
      </c>
      <c r="T17" s="59">
        <v>12</v>
      </c>
      <c r="U17" s="207" t="s">
        <v>11</v>
      </c>
      <c r="V17" s="207"/>
      <c r="W17" s="207"/>
      <c r="X17" s="60">
        <f t="shared" si="5"/>
        <v>108.80000000000004</v>
      </c>
      <c r="Y17" s="60">
        <f t="shared" si="3"/>
        <v>5142</v>
      </c>
    </row>
    <row r="18" spans="1:26" ht="16.5" x14ac:dyDescent="0.25">
      <c r="A18" s="29">
        <v>45983</v>
      </c>
      <c r="B18" s="23">
        <v>12</v>
      </c>
      <c r="C18" s="23" t="s">
        <v>37</v>
      </c>
      <c r="D18" s="24">
        <v>4.7</v>
      </c>
      <c r="E18" s="24">
        <v>6</v>
      </c>
      <c r="F18" s="43">
        <v>211.5</v>
      </c>
      <c r="H18" s="53">
        <v>13</v>
      </c>
      <c r="I18" s="76">
        <f t="shared" si="0"/>
        <v>0</v>
      </c>
      <c r="J18" s="53">
        <f t="shared" si="2"/>
        <v>0</v>
      </c>
      <c r="L18" s="59">
        <v>13</v>
      </c>
      <c r="M18" s="207" t="s">
        <v>12</v>
      </c>
      <c r="N18" s="207"/>
      <c r="O18" s="207"/>
      <c r="P18" s="97">
        <f>INDEX!F27</f>
        <v>93.699999999999974</v>
      </c>
      <c r="Q18" s="60">
        <f>INDEX!G27</f>
        <v>5754.6750000000002</v>
      </c>
      <c r="R18" s="75">
        <f t="shared" si="4"/>
        <v>61.415955176093938</v>
      </c>
      <c r="T18" s="59">
        <v>13</v>
      </c>
      <c r="U18" s="207" t="s">
        <v>12</v>
      </c>
      <c r="V18" s="207"/>
      <c r="W18" s="207"/>
      <c r="X18" s="60">
        <f t="shared" si="5"/>
        <v>93.699999999999974</v>
      </c>
      <c r="Y18" s="60">
        <f t="shared" si="3"/>
        <v>5754.6750000000002</v>
      </c>
    </row>
    <row r="19" spans="1:26" ht="16.5" x14ac:dyDescent="0.25">
      <c r="A19" s="29">
        <v>45984</v>
      </c>
      <c r="B19" s="23">
        <v>12</v>
      </c>
      <c r="C19" s="23" t="s">
        <v>37</v>
      </c>
      <c r="D19" s="24">
        <v>3.5</v>
      </c>
      <c r="E19" s="24">
        <v>5.7</v>
      </c>
      <c r="F19" s="43">
        <v>149.625</v>
      </c>
      <c r="H19" s="53">
        <v>14</v>
      </c>
      <c r="I19" s="76">
        <f t="shared" si="0"/>
        <v>0</v>
      </c>
      <c r="J19" s="53">
        <f t="shared" si="2"/>
        <v>0</v>
      </c>
      <c r="L19" s="59">
        <v>14</v>
      </c>
      <c r="M19" s="207" t="s">
        <v>13</v>
      </c>
      <c r="N19" s="207"/>
      <c r="O19" s="207"/>
      <c r="P19" s="97">
        <f>INDEX!F28</f>
        <v>17</v>
      </c>
      <c r="Q19" s="60">
        <f>INDEX!G28</f>
        <v>1107.5250000000001</v>
      </c>
      <c r="R19" s="75">
        <f t="shared" si="4"/>
        <v>65.148529411764713</v>
      </c>
      <c r="T19" s="59">
        <v>14</v>
      </c>
      <c r="U19" s="207" t="s">
        <v>13</v>
      </c>
      <c r="V19" s="207"/>
      <c r="W19" s="207"/>
      <c r="X19" s="60">
        <f t="shared" si="5"/>
        <v>17</v>
      </c>
      <c r="Y19" s="60">
        <f>IFERROR(X19*R19, "")</f>
        <v>1107.5250000000001</v>
      </c>
    </row>
    <row r="20" spans="1:26" ht="16.5" x14ac:dyDescent="0.25">
      <c r="A20" s="29">
        <v>45977</v>
      </c>
      <c r="B20" s="23">
        <v>17</v>
      </c>
      <c r="C20" s="23" t="s">
        <v>37</v>
      </c>
      <c r="D20" s="24">
        <v>8.3000000000000007</v>
      </c>
      <c r="E20" s="24">
        <v>6.2</v>
      </c>
      <c r="F20" s="43">
        <v>385.95000000000005</v>
      </c>
      <c r="H20" s="53">
        <v>15</v>
      </c>
      <c r="I20" s="76">
        <f t="shared" si="0"/>
        <v>0</v>
      </c>
      <c r="J20" s="53">
        <f t="shared" si="2"/>
        <v>0</v>
      </c>
      <c r="L20" s="59">
        <v>15</v>
      </c>
      <c r="M20" s="207" t="s">
        <v>67</v>
      </c>
      <c r="N20" s="207"/>
      <c r="O20" s="207"/>
      <c r="P20" s="97">
        <f>INDEX!F29</f>
        <v>160.89999999999998</v>
      </c>
      <c r="Q20" s="60">
        <f>INDEX!G29</f>
        <v>8701.9500000000007</v>
      </c>
      <c r="R20" s="75">
        <f t="shared" si="4"/>
        <v>54.082970789310146</v>
      </c>
      <c r="T20" s="59">
        <v>15</v>
      </c>
      <c r="U20" s="207" t="s">
        <v>67</v>
      </c>
      <c r="V20" s="207"/>
      <c r="W20" s="207"/>
      <c r="X20" s="60">
        <f t="shared" si="5"/>
        <v>160.89999999999998</v>
      </c>
      <c r="Y20" s="60">
        <f t="shared" si="3"/>
        <v>8701.9500000000007</v>
      </c>
    </row>
    <row r="21" spans="1:26" ht="16.5" x14ac:dyDescent="0.25">
      <c r="A21" s="29">
        <v>45983</v>
      </c>
      <c r="B21" s="23">
        <v>17</v>
      </c>
      <c r="C21" s="23" t="s">
        <v>27</v>
      </c>
      <c r="D21" s="24">
        <v>6.5</v>
      </c>
      <c r="E21" s="24">
        <v>5.3</v>
      </c>
      <c r="F21" s="43">
        <v>258.375</v>
      </c>
      <c r="H21" s="53">
        <v>16</v>
      </c>
      <c r="I21" s="76">
        <f t="shared" si="0"/>
        <v>0</v>
      </c>
      <c r="J21" s="53">
        <f t="shared" si="2"/>
        <v>0</v>
      </c>
      <c r="L21" s="59">
        <v>16</v>
      </c>
      <c r="M21" s="207" t="s">
        <v>82</v>
      </c>
      <c r="N21" s="207"/>
      <c r="O21" s="207"/>
      <c r="P21" s="97">
        <f>INDEX!F30</f>
        <v>76.5</v>
      </c>
      <c r="Q21" s="60">
        <f>INDEX!G30</f>
        <v>3890.8500000000008</v>
      </c>
      <c r="R21" s="75">
        <f t="shared" ref="R21" si="6">IFERROR(1*Q21/P21, "")</f>
        <v>50.860784313725503</v>
      </c>
      <c r="T21" s="59">
        <v>16</v>
      </c>
      <c r="U21" s="207" t="s">
        <v>82</v>
      </c>
      <c r="V21" s="207"/>
      <c r="W21" s="207"/>
      <c r="X21" s="60">
        <f t="shared" si="5"/>
        <v>76.5</v>
      </c>
      <c r="Y21" s="60">
        <f t="shared" si="3"/>
        <v>3890.8500000000008</v>
      </c>
      <c r="Z21" s="85"/>
    </row>
    <row r="22" spans="1:26" ht="16.5" x14ac:dyDescent="0.25">
      <c r="A22" s="144">
        <v>45985</v>
      </c>
      <c r="B22" s="129">
        <v>17</v>
      </c>
      <c r="C22" s="129" t="s">
        <v>27</v>
      </c>
      <c r="D22" s="130">
        <v>8.3000000000000007</v>
      </c>
      <c r="E22" s="130">
        <v>5</v>
      </c>
      <c r="F22" s="131">
        <v>311.25</v>
      </c>
      <c r="H22" s="53">
        <v>17</v>
      </c>
      <c r="I22" s="76">
        <v>0</v>
      </c>
      <c r="J22" s="53">
        <f t="shared" ref="J22" si="7">SUMIFS($D$2:$D$1001, $B$2:$B$1001,H22)</f>
        <v>102.80000000000001</v>
      </c>
      <c r="L22" s="59">
        <v>17</v>
      </c>
      <c r="M22" s="207" t="s">
        <v>86</v>
      </c>
      <c r="N22" s="207"/>
      <c r="O22" s="207"/>
      <c r="P22" s="97">
        <f>INDEX!F31</f>
        <v>260.09999999999997</v>
      </c>
      <c r="Q22" s="60">
        <f>INDEX!G31</f>
        <v>12030.150000000001</v>
      </c>
      <c r="R22" s="75">
        <f>IFERROR(1*Q22/P22, "0.00")</f>
        <v>46.252018454440609</v>
      </c>
      <c r="T22" s="59">
        <v>17</v>
      </c>
      <c r="U22" s="207" t="s">
        <v>86</v>
      </c>
      <c r="V22" s="207"/>
      <c r="W22" s="207"/>
      <c r="X22" s="60">
        <f t="shared" ref="X22" si="8">P22-I22</f>
        <v>260.09999999999997</v>
      </c>
      <c r="Y22" s="60">
        <f t="shared" ref="Y22" si="9">IFERROR(X22*R22, "")</f>
        <v>12030.150000000001</v>
      </c>
      <c r="Z22" s="85"/>
    </row>
    <row r="23" spans="1:26" x14ac:dyDescent="0.25">
      <c r="A23" s="29">
        <v>45986</v>
      </c>
      <c r="B23" s="23">
        <v>17</v>
      </c>
      <c r="C23" s="23" t="s">
        <v>37</v>
      </c>
      <c r="D23" s="24">
        <v>9.1</v>
      </c>
      <c r="E23" s="24">
        <v>6.2</v>
      </c>
      <c r="F23" s="43">
        <v>423.15</v>
      </c>
      <c r="I23" s="53">
        <f>SUM(I6:I22)</f>
        <v>51</v>
      </c>
      <c r="O23" s="118" t="s">
        <v>50</v>
      </c>
      <c r="P23" s="110">
        <f>INDEX!F32</f>
        <v>2289.6999999999998</v>
      </c>
      <c r="Q23" s="119">
        <f>INDEX!G32</f>
        <v>120873.52499999999</v>
      </c>
      <c r="W23" s="83" t="s">
        <v>50</v>
      </c>
      <c r="X23" s="84">
        <f>SUM(X6:X22)</f>
        <v>2238.6999999999998</v>
      </c>
      <c r="Y23" s="84">
        <f>SUM(Y6:Y22)</f>
        <v>118462.55946950283</v>
      </c>
      <c r="Z23" s="85" t="s">
        <v>61</v>
      </c>
    </row>
    <row r="24" spans="1:26" x14ac:dyDescent="0.25">
      <c r="A24" s="29">
        <v>45986</v>
      </c>
      <c r="B24" s="23">
        <v>17</v>
      </c>
      <c r="C24" s="23" t="s">
        <v>27</v>
      </c>
      <c r="D24" s="24">
        <v>7.5</v>
      </c>
      <c r="E24" s="24">
        <v>5.5</v>
      </c>
      <c r="F24" s="43">
        <v>309.375</v>
      </c>
      <c r="I24" s="76">
        <f>P24*75%</f>
        <v>52.275000000000006</v>
      </c>
      <c r="O24" s="61" t="s">
        <v>53</v>
      </c>
      <c r="P24" s="62">
        <f>INDEX!F33</f>
        <v>69.7</v>
      </c>
      <c r="Q24" s="78">
        <f>INDEX!G33</f>
        <v>4879</v>
      </c>
      <c r="W24" s="81" t="s">
        <v>53</v>
      </c>
      <c r="X24" s="82">
        <f>P24-I23</f>
        <v>18.700000000000003</v>
      </c>
      <c r="Y24" s="82">
        <f>X24*70</f>
        <v>1309.0000000000002</v>
      </c>
      <c r="Z24" s="85" t="s">
        <v>62</v>
      </c>
    </row>
    <row r="25" spans="1:26" ht="15.75" x14ac:dyDescent="0.25">
      <c r="A25" s="29">
        <v>45987</v>
      </c>
      <c r="B25" s="23">
        <v>17</v>
      </c>
      <c r="C25" s="23" t="s">
        <v>27</v>
      </c>
      <c r="D25" s="24">
        <v>7.7</v>
      </c>
      <c r="E25" s="24">
        <v>5.5</v>
      </c>
      <c r="F25" s="43">
        <v>317.625</v>
      </c>
      <c r="O25" s="187" t="s">
        <v>52</v>
      </c>
      <c r="P25" s="187"/>
      <c r="Q25" s="66">
        <f>INDEX!G34</f>
        <v>0</v>
      </c>
      <c r="W25" s="208" t="s">
        <v>52</v>
      </c>
      <c r="X25" s="208"/>
      <c r="Y25" s="132">
        <f>Q25</f>
        <v>0</v>
      </c>
      <c r="Z25" s="85" t="s">
        <v>63</v>
      </c>
    </row>
    <row r="26" spans="1:26" ht="18.75" x14ac:dyDescent="0.3">
      <c r="A26" s="29">
        <v>45988</v>
      </c>
      <c r="B26" s="23">
        <v>17</v>
      </c>
      <c r="C26" s="23" t="s">
        <v>37</v>
      </c>
      <c r="D26" s="24">
        <v>11.1</v>
      </c>
      <c r="E26" s="24">
        <v>6.3</v>
      </c>
      <c r="F26" s="43">
        <v>524.47500000000002</v>
      </c>
      <c r="O26" s="187" t="s">
        <v>51</v>
      </c>
      <c r="P26" s="187"/>
      <c r="Q26" s="116">
        <f>INDEX!G36</f>
        <v>115994.52499999999</v>
      </c>
      <c r="W26" s="206" t="s">
        <v>84</v>
      </c>
      <c r="X26" s="206"/>
      <c r="Y26" s="99">
        <f>Y23-(Y24 + Y25)</f>
        <v>117153.55946950283</v>
      </c>
    </row>
    <row r="27" spans="1:26" ht="15.75" thickBot="1" x14ac:dyDescent="0.3">
      <c r="A27" s="29">
        <v>45988</v>
      </c>
      <c r="B27" s="23">
        <v>17</v>
      </c>
      <c r="C27" s="23" t="s">
        <v>27</v>
      </c>
      <c r="D27" s="24">
        <v>8.4</v>
      </c>
      <c r="E27" s="24">
        <v>5.5</v>
      </c>
      <c r="F27" s="43">
        <v>346.5</v>
      </c>
    </row>
    <row r="28" spans="1:26" ht="15.75" thickBot="1" x14ac:dyDescent="0.3">
      <c r="A28" s="29">
        <v>45990</v>
      </c>
      <c r="B28" s="23">
        <v>17</v>
      </c>
      <c r="C28" s="23" t="s">
        <v>37</v>
      </c>
      <c r="D28" s="24">
        <v>8.9</v>
      </c>
      <c r="E28" s="24">
        <v>6.2</v>
      </c>
      <c r="F28" s="43">
        <v>413.85</v>
      </c>
      <c r="H28" s="107">
        <v>0</v>
      </c>
      <c r="I28" t="s">
        <v>71</v>
      </c>
      <c r="P28" s="113"/>
      <c r="Q28" s="112"/>
      <c r="W28" s="203" t="s">
        <v>60</v>
      </c>
      <c r="X28" s="204"/>
      <c r="Y28" s="205"/>
    </row>
    <row r="29" spans="1:26" x14ac:dyDescent="0.25">
      <c r="A29" s="29">
        <v>45990</v>
      </c>
      <c r="B29" s="23">
        <v>17</v>
      </c>
      <c r="C29" s="23" t="s">
        <v>27</v>
      </c>
      <c r="D29" s="24">
        <v>8.5</v>
      </c>
      <c r="E29" s="24">
        <v>6</v>
      </c>
      <c r="F29" s="43">
        <v>382.5</v>
      </c>
      <c r="H29" s="76">
        <v>0</v>
      </c>
      <c r="I29" t="s">
        <v>72</v>
      </c>
      <c r="W29" s="229" t="s">
        <v>56</v>
      </c>
      <c r="X29" s="230"/>
      <c r="Y29" s="225">
        <v>10000</v>
      </c>
    </row>
    <row r="30" spans="1:26" ht="15.75" x14ac:dyDescent="0.25">
      <c r="A30" s="29">
        <v>45991</v>
      </c>
      <c r="B30" s="23">
        <v>17</v>
      </c>
      <c r="C30" s="23" t="s">
        <v>37</v>
      </c>
      <c r="D30" s="24">
        <v>11.1</v>
      </c>
      <c r="E30" s="24">
        <v>6</v>
      </c>
      <c r="F30" s="43">
        <v>499.5</v>
      </c>
      <c r="P30" s="113" t="s">
        <v>83</v>
      </c>
      <c r="Q30" s="115">
        <f>Y26-Q26</f>
        <v>1159.0344695028325</v>
      </c>
      <c r="W30" s="231" t="s">
        <v>57</v>
      </c>
      <c r="X30" s="232"/>
      <c r="Y30" s="226">
        <v>1000</v>
      </c>
    </row>
    <row r="31" spans="1:26" x14ac:dyDescent="0.25">
      <c r="A31" s="29">
        <v>45991</v>
      </c>
      <c r="B31" s="23">
        <v>17</v>
      </c>
      <c r="C31" s="23" t="s">
        <v>27</v>
      </c>
      <c r="D31" s="24">
        <v>7.4</v>
      </c>
      <c r="E31" s="24">
        <v>5.5</v>
      </c>
      <c r="F31" s="43">
        <v>305.25</v>
      </c>
      <c r="P31" s="113" t="s">
        <v>80</v>
      </c>
      <c r="Q31" s="114">
        <f>Q16</f>
        <v>3821.55</v>
      </c>
      <c r="W31" s="231" t="s">
        <v>58</v>
      </c>
      <c r="X31" s="232"/>
      <c r="Y31" s="226">
        <v>210</v>
      </c>
    </row>
    <row r="32" spans="1:26" ht="15.75" thickBot="1" x14ac:dyDescent="0.3">
      <c r="A32" s="29"/>
      <c r="B32" s="23"/>
      <c r="C32" s="23"/>
      <c r="D32" s="24"/>
      <c r="E32" s="24"/>
      <c r="F32" s="43"/>
      <c r="P32" s="113" t="s">
        <v>79</v>
      </c>
      <c r="Q32" s="114">
        <f>INDEX!I32</f>
        <v>1996</v>
      </c>
      <c r="R32" s="80"/>
      <c r="T32" s="80"/>
      <c r="W32" s="231" t="s">
        <v>68</v>
      </c>
      <c r="X32" s="232"/>
      <c r="Y32" s="226">
        <v>0</v>
      </c>
    </row>
    <row r="33" spans="1:25" ht="16.5" thickBot="1" x14ac:dyDescent="0.3">
      <c r="A33" s="29"/>
      <c r="B33" s="23"/>
      <c r="C33" s="23"/>
      <c r="D33" s="24"/>
      <c r="E33" s="24"/>
      <c r="F33" s="43"/>
      <c r="P33" s="113" t="s">
        <v>93</v>
      </c>
      <c r="Q33" s="121">
        <f>Q24-Q30</f>
        <v>3719.9655304971675</v>
      </c>
      <c r="R33" s="80"/>
      <c r="W33" s="233" t="s">
        <v>59</v>
      </c>
      <c r="X33" s="234"/>
      <c r="Y33" s="227">
        <v>200</v>
      </c>
    </row>
    <row r="34" spans="1:25" ht="19.5" thickBot="1" x14ac:dyDescent="0.3">
      <c r="A34" s="29"/>
      <c r="B34" s="23"/>
      <c r="C34" s="23"/>
      <c r="D34" s="24"/>
      <c r="E34" s="24"/>
      <c r="F34" s="43"/>
      <c r="P34" s="113" t="s">
        <v>81</v>
      </c>
      <c r="Q34" s="121">
        <f>IFERROR(Q23 - (Q31 + Q32), "NO VALUE")</f>
        <v>115055.97499999999</v>
      </c>
      <c r="W34" s="235" t="s">
        <v>50</v>
      </c>
      <c r="X34" s="236"/>
      <c r="Y34" s="228">
        <f>SUM(Y29:Y33)</f>
        <v>11410</v>
      </c>
    </row>
    <row r="35" spans="1:25" ht="15.75" x14ac:dyDescent="0.25">
      <c r="A35" s="29"/>
      <c r="B35" s="23"/>
      <c r="C35" s="23"/>
      <c r="D35" s="24"/>
      <c r="E35" s="24"/>
      <c r="F35" s="43"/>
      <c r="P35" s="113"/>
      <c r="Q35" s="128"/>
    </row>
    <row r="36" spans="1:25" ht="15.75" x14ac:dyDescent="0.25">
      <c r="A36" s="29"/>
      <c r="B36" s="23"/>
      <c r="C36" s="23"/>
      <c r="D36" s="24"/>
      <c r="E36" s="24"/>
      <c r="F36" s="43"/>
      <c r="P36" s="113"/>
      <c r="Q36" s="154"/>
      <c r="W36" s="209"/>
      <c r="X36" s="209"/>
      <c r="Y36" s="128"/>
    </row>
    <row r="37" spans="1:25" x14ac:dyDescent="0.25">
      <c r="A37" s="29"/>
      <c r="B37" s="23"/>
      <c r="C37" s="23"/>
      <c r="D37" s="24"/>
      <c r="E37" s="24"/>
      <c r="F37" s="43"/>
      <c r="P37" s="113"/>
      <c r="Q37" s="80"/>
    </row>
    <row r="38" spans="1:25" x14ac:dyDescent="0.25">
      <c r="A38" s="29"/>
      <c r="B38" s="23"/>
      <c r="C38" s="23"/>
      <c r="D38" s="24"/>
      <c r="E38" s="24"/>
      <c r="F38" s="43"/>
      <c r="Q38" s="80"/>
    </row>
    <row r="39" spans="1:25" x14ac:dyDescent="0.25">
      <c r="A39" s="29"/>
      <c r="B39" s="23"/>
      <c r="C39" s="23"/>
      <c r="D39" s="24"/>
      <c r="E39" s="24"/>
      <c r="F39" s="43"/>
    </row>
    <row r="40" spans="1:25" x14ac:dyDescent="0.25">
      <c r="A40" s="29"/>
      <c r="B40" s="23"/>
      <c r="C40" s="23"/>
      <c r="D40" s="24"/>
      <c r="E40" s="24"/>
      <c r="F40" s="43"/>
    </row>
    <row r="41" spans="1:25" x14ac:dyDescent="0.25">
      <c r="A41" s="29"/>
      <c r="B41" s="23"/>
      <c r="C41" s="23"/>
      <c r="D41" s="24"/>
      <c r="E41" s="24"/>
      <c r="F41" s="43"/>
    </row>
    <row r="42" spans="1:25" x14ac:dyDescent="0.25">
      <c r="A42" s="29"/>
      <c r="B42" s="23"/>
      <c r="C42" s="23"/>
      <c r="D42" s="24"/>
      <c r="E42" s="24"/>
      <c r="F42" s="43"/>
    </row>
    <row r="43" spans="1:25" x14ac:dyDescent="0.25">
      <c r="A43" s="29"/>
      <c r="B43" s="23"/>
      <c r="C43" s="23"/>
      <c r="D43" s="24"/>
      <c r="E43" s="24"/>
      <c r="F43" s="43"/>
    </row>
    <row r="44" spans="1:25" x14ac:dyDescent="0.25">
      <c r="A44" s="29"/>
      <c r="B44" s="23"/>
      <c r="C44" s="23"/>
      <c r="D44" s="24"/>
      <c r="E44" s="24"/>
      <c r="F44" s="43"/>
    </row>
    <row r="45" spans="1:25" x14ac:dyDescent="0.25">
      <c r="A45" s="29"/>
      <c r="B45" s="23"/>
      <c r="C45" s="23"/>
      <c r="D45" s="24"/>
      <c r="E45" s="24"/>
      <c r="F45" s="43"/>
    </row>
    <row r="46" spans="1:25" x14ac:dyDescent="0.25">
      <c r="A46" s="29"/>
      <c r="B46" s="23"/>
      <c r="C46" s="23"/>
      <c r="D46" s="24"/>
      <c r="E46" s="24"/>
      <c r="F46" s="43"/>
    </row>
    <row r="47" spans="1:25" x14ac:dyDescent="0.25">
      <c r="A47" s="29"/>
      <c r="B47" s="23"/>
      <c r="C47" s="23"/>
      <c r="D47" s="24"/>
      <c r="E47" s="24"/>
      <c r="F47" s="43"/>
    </row>
    <row r="48" spans="1:25" x14ac:dyDescent="0.25">
      <c r="A48" s="29"/>
      <c r="B48" s="23"/>
      <c r="C48" s="23"/>
      <c r="D48" s="24"/>
      <c r="E48" s="24"/>
      <c r="F48" s="43"/>
    </row>
    <row r="49" spans="1:6" x14ac:dyDescent="0.25">
      <c r="A49" s="29"/>
      <c r="B49" s="23"/>
      <c r="C49" s="23"/>
      <c r="D49" s="24"/>
      <c r="E49" s="24"/>
      <c r="F49" s="43"/>
    </row>
    <row r="50" spans="1:6" x14ac:dyDescent="0.25">
      <c r="A50" s="29"/>
      <c r="B50" s="23"/>
      <c r="C50" s="23"/>
      <c r="D50" s="24"/>
      <c r="E50" s="24"/>
      <c r="F50" s="43"/>
    </row>
    <row r="51" spans="1:6" x14ac:dyDescent="0.25">
      <c r="A51" s="29"/>
      <c r="B51" s="23"/>
      <c r="C51" s="23"/>
      <c r="D51" s="24"/>
      <c r="E51" s="24"/>
      <c r="F51" s="43"/>
    </row>
    <row r="52" spans="1:6" x14ac:dyDescent="0.25">
      <c r="A52" s="29"/>
      <c r="B52" s="23"/>
      <c r="C52" s="23"/>
      <c r="D52" s="24"/>
      <c r="E52" s="24"/>
      <c r="F52" s="43"/>
    </row>
    <row r="53" spans="1:6" x14ac:dyDescent="0.25">
      <c r="A53" s="29"/>
      <c r="B53" s="23"/>
      <c r="C53" s="23"/>
      <c r="D53" s="24"/>
      <c r="E53" s="24"/>
      <c r="F53" s="43"/>
    </row>
    <row r="54" spans="1:6" x14ac:dyDescent="0.25">
      <c r="A54" s="29"/>
      <c r="B54" s="23"/>
      <c r="C54" s="23"/>
      <c r="D54" s="24"/>
      <c r="E54" s="24"/>
      <c r="F54" s="43"/>
    </row>
    <row r="55" spans="1:6" x14ac:dyDescent="0.25">
      <c r="A55" s="29"/>
      <c r="B55" s="23"/>
      <c r="C55" s="23"/>
      <c r="D55" s="24"/>
      <c r="E55" s="24"/>
      <c r="F55" s="43"/>
    </row>
    <row r="56" spans="1:6" x14ac:dyDescent="0.25">
      <c r="A56" s="29"/>
      <c r="B56" s="23"/>
      <c r="C56" s="23"/>
      <c r="D56" s="24"/>
      <c r="E56" s="24"/>
      <c r="F56" s="43"/>
    </row>
    <row r="57" spans="1:6" x14ac:dyDescent="0.25">
      <c r="A57" s="29"/>
      <c r="B57" s="23"/>
      <c r="C57" s="23"/>
      <c r="D57" s="24"/>
      <c r="E57" s="24"/>
      <c r="F57" s="43"/>
    </row>
    <row r="58" spans="1:6" x14ac:dyDescent="0.25">
      <c r="A58" s="29"/>
      <c r="B58" s="23"/>
      <c r="C58" s="23"/>
      <c r="D58" s="24"/>
      <c r="E58" s="24"/>
      <c r="F58" s="43"/>
    </row>
    <row r="59" spans="1:6" x14ac:dyDescent="0.25">
      <c r="A59" s="29"/>
      <c r="B59" s="23"/>
      <c r="C59" s="23"/>
      <c r="D59" s="24"/>
      <c r="E59" s="24"/>
      <c r="F59" s="43"/>
    </row>
    <row r="60" spans="1:6" x14ac:dyDescent="0.25">
      <c r="A60" s="29"/>
      <c r="B60" s="23"/>
      <c r="C60" s="23"/>
      <c r="D60" s="24"/>
      <c r="E60" s="24"/>
      <c r="F60" s="43"/>
    </row>
    <row r="61" spans="1:6" x14ac:dyDescent="0.25">
      <c r="A61" s="29"/>
      <c r="B61" s="23"/>
      <c r="C61" s="23"/>
      <c r="D61" s="24"/>
      <c r="E61" s="24"/>
      <c r="F61" s="43"/>
    </row>
    <row r="62" spans="1:6" x14ac:dyDescent="0.25">
      <c r="A62" s="29"/>
      <c r="B62" s="23"/>
      <c r="C62" s="23"/>
      <c r="D62" s="24"/>
      <c r="E62" s="24"/>
      <c r="F62" s="43"/>
    </row>
    <row r="63" spans="1:6" x14ac:dyDescent="0.25">
      <c r="A63" s="29"/>
      <c r="B63" s="23"/>
      <c r="C63" s="23"/>
      <c r="D63" s="24"/>
      <c r="E63" s="24"/>
      <c r="F63" s="43"/>
    </row>
    <row r="64" spans="1:6" x14ac:dyDescent="0.25">
      <c r="A64" s="29"/>
      <c r="B64" s="23"/>
      <c r="C64" s="23"/>
      <c r="D64" s="24"/>
      <c r="E64" s="24"/>
      <c r="F64" s="43"/>
    </row>
    <row r="65" spans="1:6" x14ac:dyDescent="0.25">
      <c r="A65" s="29"/>
      <c r="B65" s="23"/>
      <c r="C65" s="23"/>
      <c r="D65" s="24"/>
      <c r="E65" s="24"/>
      <c r="F65" s="43"/>
    </row>
    <row r="66" spans="1:6" x14ac:dyDescent="0.25">
      <c r="A66" s="29"/>
      <c r="B66" s="23"/>
      <c r="C66" s="23"/>
      <c r="D66" s="24"/>
      <c r="E66" s="24"/>
      <c r="F66" s="43"/>
    </row>
    <row r="67" spans="1:6" x14ac:dyDescent="0.25">
      <c r="A67" s="29"/>
      <c r="B67" s="23"/>
      <c r="C67" s="23"/>
      <c r="D67" s="24"/>
      <c r="E67" s="24"/>
      <c r="F67" s="43"/>
    </row>
    <row r="68" spans="1:6" x14ac:dyDescent="0.25">
      <c r="A68" s="29"/>
      <c r="B68" s="23"/>
      <c r="C68" s="23"/>
      <c r="D68" s="24"/>
      <c r="E68" s="24"/>
      <c r="F68" s="43"/>
    </row>
    <row r="69" spans="1:6" x14ac:dyDescent="0.25">
      <c r="A69" s="29"/>
      <c r="B69" s="23"/>
      <c r="C69" s="23"/>
      <c r="D69" s="24"/>
      <c r="E69" s="24"/>
      <c r="F69" s="43"/>
    </row>
    <row r="70" spans="1:6" x14ac:dyDescent="0.25">
      <c r="A70" s="29"/>
      <c r="B70" s="23"/>
      <c r="C70" s="23"/>
      <c r="D70" s="24"/>
      <c r="E70" s="24"/>
      <c r="F70" s="43"/>
    </row>
    <row r="71" spans="1:6" x14ac:dyDescent="0.25">
      <c r="A71" s="29"/>
      <c r="B71" s="23"/>
      <c r="C71" s="23"/>
      <c r="D71" s="24"/>
      <c r="E71" s="24"/>
      <c r="F71" s="43"/>
    </row>
    <row r="72" spans="1:6" x14ac:dyDescent="0.25">
      <c r="A72" s="29"/>
      <c r="B72" s="23"/>
      <c r="C72" s="23"/>
      <c r="D72" s="24"/>
      <c r="E72" s="24"/>
      <c r="F72" s="43"/>
    </row>
    <row r="73" spans="1:6" x14ac:dyDescent="0.25">
      <c r="A73" s="29"/>
      <c r="B73" s="23"/>
      <c r="C73" s="23"/>
      <c r="D73" s="24"/>
      <c r="E73" s="24"/>
      <c r="F73" s="43"/>
    </row>
    <row r="74" spans="1:6" x14ac:dyDescent="0.25">
      <c r="A74" s="29"/>
      <c r="B74" s="23"/>
      <c r="C74" s="23"/>
      <c r="D74" s="24"/>
      <c r="E74" s="24"/>
      <c r="F74" s="43"/>
    </row>
    <row r="75" spans="1:6" x14ac:dyDescent="0.25">
      <c r="A75" s="29"/>
      <c r="B75" s="23"/>
      <c r="C75" s="23"/>
      <c r="D75" s="24"/>
      <c r="E75" s="24"/>
      <c r="F75" s="43"/>
    </row>
    <row r="76" spans="1:6" x14ac:dyDescent="0.25">
      <c r="A76" s="29"/>
      <c r="B76" s="23"/>
      <c r="C76" s="23"/>
      <c r="D76" s="24"/>
      <c r="E76" s="24"/>
      <c r="F76" s="43"/>
    </row>
    <row r="77" spans="1:6" x14ac:dyDescent="0.25">
      <c r="A77" s="29"/>
      <c r="B77" s="23"/>
      <c r="C77" s="23"/>
      <c r="D77" s="24"/>
      <c r="E77" s="24"/>
      <c r="F77" s="43"/>
    </row>
    <row r="78" spans="1:6" x14ac:dyDescent="0.25">
      <c r="A78" s="29"/>
      <c r="B78" s="23"/>
      <c r="C78" s="23"/>
      <c r="D78" s="24"/>
      <c r="E78" s="24"/>
      <c r="F78" s="43"/>
    </row>
    <row r="79" spans="1:6" x14ac:dyDescent="0.25">
      <c r="A79" s="29"/>
      <c r="B79" s="23"/>
      <c r="C79" s="23"/>
      <c r="D79" s="24"/>
      <c r="E79" s="24"/>
      <c r="F79" s="43"/>
    </row>
    <row r="80" spans="1:6" x14ac:dyDescent="0.25">
      <c r="A80" s="29"/>
      <c r="B80" s="23"/>
      <c r="C80" s="23"/>
      <c r="D80" s="24"/>
      <c r="E80" s="24"/>
      <c r="F80" s="43"/>
    </row>
    <row r="81" spans="1:6" x14ac:dyDescent="0.25">
      <c r="A81" s="29"/>
      <c r="B81" s="23"/>
      <c r="C81" s="23"/>
      <c r="D81" s="24"/>
      <c r="E81" s="24"/>
      <c r="F81" s="43"/>
    </row>
    <row r="82" spans="1:6" x14ac:dyDescent="0.25">
      <c r="A82" s="29"/>
      <c r="B82" s="23"/>
      <c r="C82" s="23"/>
      <c r="D82" s="24"/>
      <c r="E82" s="24"/>
      <c r="F82" s="43"/>
    </row>
    <row r="83" spans="1:6" x14ac:dyDescent="0.25">
      <c r="A83" s="29"/>
      <c r="B83" s="23"/>
      <c r="C83" s="23"/>
      <c r="D83" s="24"/>
      <c r="E83" s="24"/>
      <c r="F83" s="43"/>
    </row>
    <row r="84" spans="1:6" x14ac:dyDescent="0.25">
      <c r="A84" s="29"/>
      <c r="B84" s="23"/>
      <c r="C84" s="23"/>
      <c r="D84" s="24"/>
      <c r="E84" s="24"/>
      <c r="F84" s="43"/>
    </row>
    <row r="85" spans="1:6" x14ac:dyDescent="0.25">
      <c r="A85" s="29"/>
      <c r="B85" s="23"/>
      <c r="C85" s="23"/>
      <c r="D85" s="24"/>
      <c r="E85" s="24"/>
      <c r="F85" s="43"/>
    </row>
    <row r="86" spans="1:6" x14ac:dyDescent="0.25">
      <c r="A86" s="29"/>
      <c r="B86" s="23"/>
      <c r="C86" s="23"/>
      <c r="D86" s="24"/>
      <c r="E86" s="24"/>
      <c r="F86" s="43"/>
    </row>
    <row r="87" spans="1:6" x14ac:dyDescent="0.25">
      <c r="A87" s="29"/>
      <c r="B87" s="23"/>
      <c r="C87" s="23"/>
      <c r="D87" s="24"/>
      <c r="E87" s="24"/>
      <c r="F87" s="43"/>
    </row>
    <row r="88" spans="1:6" x14ac:dyDescent="0.25">
      <c r="A88" s="29"/>
      <c r="B88" s="23"/>
      <c r="C88" s="23"/>
      <c r="D88" s="24"/>
      <c r="E88" s="24"/>
      <c r="F88" s="43"/>
    </row>
    <row r="89" spans="1:6" x14ac:dyDescent="0.25">
      <c r="A89" s="29"/>
      <c r="B89" s="23"/>
      <c r="C89" s="23"/>
      <c r="D89" s="24"/>
      <c r="E89" s="24"/>
      <c r="F89" s="43"/>
    </row>
    <row r="90" spans="1:6" x14ac:dyDescent="0.25">
      <c r="A90" s="29"/>
      <c r="B90" s="23"/>
      <c r="C90" s="23"/>
      <c r="D90" s="24"/>
      <c r="E90" s="24"/>
      <c r="F90" s="43"/>
    </row>
    <row r="91" spans="1:6" x14ac:dyDescent="0.25">
      <c r="A91" s="29"/>
      <c r="B91" s="23"/>
      <c r="C91" s="23"/>
      <c r="D91" s="24"/>
      <c r="E91" s="24"/>
      <c r="F91" s="43"/>
    </row>
    <row r="92" spans="1:6" x14ac:dyDescent="0.25">
      <c r="A92" s="29"/>
      <c r="B92" s="23"/>
      <c r="C92" s="23"/>
      <c r="D92" s="24"/>
      <c r="E92" s="24"/>
      <c r="F92" s="43"/>
    </row>
    <row r="93" spans="1:6" x14ac:dyDescent="0.25">
      <c r="A93" s="29"/>
      <c r="B93" s="23"/>
      <c r="C93" s="23"/>
      <c r="D93" s="24"/>
      <c r="E93" s="24"/>
      <c r="F93" s="43"/>
    </row>
    <row r="94" spans="1:6" x14ac:dyDescent="0.25">
      <c r="A94" s="29"/>
      <c r="B94" s="23"/>
      <c r="C94" s="23"/>
      <c r="D94" s="24"/>
      <c r="E94" s="24"/>
      <c r="F94" s="43"/>
    </row>
    <row r="95" spans="1:6" x14ac:dyDescent="0.25">
      <c r="A95" s="29"/>
      <c r="B95" s="23"/>
      <c r="C95" s="23"/>
      <c r="D95" s="24"/>
      <c r="E95" s="24"/>
      <c r="F95" s="43"/>
    </row>
    <row r="96" spans="1:6" x14ac:dyDescent="0.25">
      <c r="A96" s="29"/>
      <c r="B96" s="23"/>
      <c r="C96" s="23"/>
      <c r="D96" s="24"/>
      <c r="E96" s="24"/>
      <c r="F96" s="43"/>
    </row>
    <row r="97" spans="1:6" x14ac:dyDescent="0.25">
      <c r="A97" s="29"/>
      <c r="B97" s="23"/>
      <c r="C97" s="23"/>
      <c r="D97" s="24"/>
      <c r="E97" s="24"/>
      <c r="F97" s="43"/>
    </row>
    <row r="98" spans="1:6" x14ac:dyDescent="0.25">
      <c r="A98" s="29"/>
      <c r="B98" s="23"/>
      <c r="C98" s="23"/>
      <c r="D98" s="24"/>
      <c r="E98" s="24"/>
      <c r="F98" s="43"/>
    </row>
    <row r="99" spans="1:6" x14ac:dyDescent="0.25">
      <c r="A99" s="29"/>
      <c r="B99" s="23"/>
      <c r="C99" s="23"/>
      <c r="D99" s="24"/>
      <c r="E99" s="24"/>
      <c r="F99" s="43"/>
    </row>
    <row r="100" spans="1:6" x14ac:dyDescent="0.25">
      <c r="A100" s="29"/>
      <c r="B100" s="23"/>
      <c r="C100" s="23"/>
      <c r="D100" s="24"/>
      <c r="E100" s="24"/>
      <c r="F100" s="43"/>
    </row>
    <row r="101" spans="1:6" x14ac:dyDescent="0.25">
      <c r="A101" s="29"/>
      <c r="B101" s="23"/>
      <c r="C101" s="23"/>
      <c r="D101" s="24"/>
      <c r="E101" s="24"/>
      <c r="F101" s="43"/>
    </row>
    <row r="102" spans="1:6" x14ac:dyDescent="0.25">
      <c r="A102" s="29"/>
      <c r="B102" s="23"/>
      <c r="C102" s="23"/>
      <c r="D102" s="24"/>
      <c r="E102" s="24"/>
      <c r="F102" s="43"/>
    </row>
    <row r="103" spans="1:6" x14ac:dyDescent="0.25">
      <c r="A103" s="29"/>
      <c r="B103" s="23"/>
      <c r="C103" s="23"/>
      <c r="D103" s="24"/>
      <c r="E103" s="24"/>
      <c r="F103" s="43"/>
    </row>
    <row r="104" spans="1:6" x14ac:dyDescent="0.25">
      <c r="A104" s="29"/>
      <c r="B104" s="23"/>
      <c r="C104" s="23"/>
      <c r="D104" s="24"/>
      <c r="E104" s="24"/>
      <c r="F104" s="43"/>
    </row>
    <row r="105" spans="1:6" x14ac:dyDescent="0.25">
      <c r="A105" s="29"/>
      <c r="B105" s="23"/>
      <c r="C105" s="23"/>
      <c r="D105" s="24"/>
      <c r="E105" s="24"/>
      <c r="F105" s="43"/>
    </row>
    <row r="106" spans="1:6" x14ac:dyDescent="0.25">
      <c r="A106" s="29"/>
      <c r="B106" s="23"/>
      <c r="C106" s="23"/>
      <c r="D106" s="24"/>
      <c r="E106" s="24"/>
      <c r="F106" s="43"/>
    </row>
    <row r="107" spans="1:6" x14ac:dyDescent="0.25">
      <c r="A107" s="29"/>
      <c r="B107" s="23"/>
      <c r="C107" s="23"/>
      <c r="D107" s="24"/>
      <c r="E107" s="24"/>
      <c r="F107" s="43"/>
    </row>
    <row r="108" spans="1:6" x14ac:dyDescent="0.25">
      <c r="A108" s="29"/>
      <c r="B108" s="23"/>
      <c r="C108" s="23"/>
      <c r="D108" s="24"/>
      <c r="E108" s="24"/>
      <c r="F108" s="43"/>
    </row>
    <row r="109" spans="1:6" x14ac:dyDescent="0.25">
      <c r="A109" s="29"/>
      <c r="B109" s="23"/>
      <c r="C109" s="23"/>
      <c r="D109" s="24"/>
      <c r="E109" s="24"/>
      <c r="F109" s="43"/>
    </row>
    <row r="110" spans="1:6" x14ac:dyDescent="0.25">
      <c r="A110" s="29"/>
      <c r="B110" s="23"/>
      <c r="C110" s="23"/>
      <c r="D110" s="24"/>
      <c r="E110" s="24"/>
      <c r="F110" s="43"/>
    </row>
    <row r="111" spans="1:6" x14ac:dyDescent="0.25">
      <c r="A111" s="29"/>
      <c r="B111" s="23"/>
      <c r="C111" s="23"/>
      <c r="D111" s="24"/>
      <c r="E111" s="24"/>
      <c r="F111" s="43"/>
    </row>
    <row r="112" spans="1:6" x14ac:dyDescent="0.25">
      <c r="A112" s="29"/>
      <c r="B112" s="23"/>
      <c r="C112" s="23"/>
      <c r="D112" s="24"/>
      <c r="E112" s="24"/>
      <c r="F112" s="43"/>
    </row>
    <row r="113" spans="1:6" x14ac:dyDescent="0.25">
      <c r="A113" s="29"/>
      <c r="B113" s="23"/>
      <c r="C113" s="23"/>
      <c r="D113" s="24"/>
      <c r="E113" s="24"/>
      <c r="F113" s="43"/>
    </row>
    <row r="114" spans="1:6" x14ac:dyDescent="0.25">
      <c r="A114" s="29"/>
      <c r="B114" s="23"/>
      <c r="C114" s="23"/>
      <c r="D114" s="24"/>
      <c r="E114" s="24"/>
      <c r="F114" s="43"/>
    </row>
    <row r="115" spans="1:6" x14ac:dyDescent="0.25">
      <c r="A115" s="29"/>
      <c r="B115" s="23"/>
      <c r="C115" s="23"/>
      <c r="D115" s="24"/>
      <c r="E115" s="24"/>
      <c r="F115" s="43"/>
    </row>
    <row r="116" spans="1:6" x14ac:dyDescent="0.25">
      <c r="A116" s="29"/>
      <c r="B116" s="23"/>
      <c r="C116" s="23"/>
      <c r="D116" s="24"/>
      <c r="E116" s="24"/>
      <c r="F116" s="43"/>
    </row>
    <row r="117" spans="1:6" x14ac:dyDescent="0.25">
      <c r="A117" s="29"/>
      <c r="B117" s="23"/>
      <c r="C117" s="23"/>
      <c r="D117" s="24"/>
      <c r="E117" s="24"/>
      <c r="F117" s="43"/>
    </row>
    <row r="118" spans="1:6" x14ac:dyDescent="0.25">
      <c r="A118" s="29"/>
      <c r="B118" s="23"/>
      <c r="C118" s="23"/>
      <c r="D118" s="24"/>
      <c r="E118" s="24"/>
      <c r="F118" s="43"/>
    </row>
    <row r="119" spans="1:6" x14ac:dyDescent="0.25">
      <c r="A119" s="29"/>
      <c r="B119" s="23"/>
      <c r="C119" s="23"/>
      <c r="D119" s="24"/>
      <c r="E119" s="24"/>
      <c r="F119" s="43"/>
    </row>
    <row r="120" spans="1:6" x14ac:dyDescent="0.25">
      <c r="A120" s="29"/>
      <c r="B120" s="23"/>
      <c r="C120" s="23"/>
      <c r="D120" s="24"/>
      <c r="E120" s="24"/>
      <c r="F120" s="43"/>
    </row>
    <row r="121" spans="1:6" x14ac:dyDescent="0.25">
      <c r="A121" s="29"/>
      <c r="B121" s="23"/>
      <c r="C121" s="23"/>
      <c r="D121" s="24"/>
      <c r="E121" s="24"/>
      <c r="F121" s="43"/>
    </row>
    <row r="122" spans="1:6" x14ac:dyDescent="0.25">
      <c r="A122" s="29"/>
      <c r="B122" s="23"/>
      <c r="C122" s="23"/>
      <c r="D122" s="24"/>
      <c r="E122" s="24"/>
      <c r="F122" s="43"/>
    </row>
    <row r="123" spans="1:6" x14ac:dyDescent="0.25">
      <c r="A123" s="29"/>
      <c r="B123" s="23"/>
      <c r="C123" s="23"/>
      <c r="D123" s="24"/>
      <c r="E123" s="24"/>
      <c r="F123" s="43"/>
    </row>
    <row r="124" spans="1:6" x14ac:dyDescent="0.25">
      <c r="A124" s="29"/>
      <c r="B124" s="23"/>
      <c r="C124" s="23"/>
      <c r="D124" s="24"/>
      <c r="E124" s="24"/>
      <c r="F124" s="43"/>
    </row>
    <row r="125" spans="1:6" x14ac:dyDescent="0.25">
      <c r="A125" s="29"/>
      <c r="B125" s="23"/>
      <c r="C125" s="23"/>
      <c r="D125" s="24"/>
      <c r="E125" s="24"/>
      <c r="F125" s="43"/>
    </row>
    <row r="126" spans="1:6" x14ac:dyDescent="0.25">
      <c r="A126" s="29"/>
      <c r="B126" s="23"/>
      <c r="C126" s="23"/>
      <c r="D126" s="24"/>
      <c r="E126" s="24"/>
      <c r="F126" s="43"/>
    </row>
    <row r="127" spans="1:6" x14ac:dyDescent="0.25">
      <c r="A127" s="29"/>
      <c r="B127" s="23"/>
      <c r="C127" s="23"/>
      <c r="D127" s="24"/>
      <c r="E127" s="24"/>
      <c r="F127" s="43"/>
    </row>
    <row r="128" spans="1:6" x14ac:dyDescent="0.25">
      <c r="A128" s="29"/>
      <c r="B128" s="23"/>
      <c r="C128" s="23"/>
      <c r="D128" s="24"/>
      <c r="E128" s="24"/>
      <c r="F128" s="43"/>
    </row>
    <row r="129" spans="1:6" x14ac:dyDescent="0.25">
      <c r="A129" s="29"/>
      <c r="B129" s="23"/>
      <c r="C129" s="23"/>
      <c r="D129" s="24"/>
      <c r="E129" s="24"/>
      <c r="F129" s="43"/>
    </row>
    <row r="130" spans="1:6" x14ac:dyDescent="0.25">
      <c r="A130" s="29"/>
      <c r="B130" s="23"/>
      <c r="C130" s="23"/>
      <c r="D130" s="24"/>
      <c r="E130" s="24"/>
      <c r="F130" s="43"/>
    </row>
    <row r="131" spans="1:6" x14ac:dyDescent="0.25">
      <c r="A131" s="29"/>
      <c r="B131" s="23"/>
      <c r="C131" s="23"/>
      <c r="D131" s="24"/>
      <c r="E131" s="24"/>
      <c r="F131" s="43"/>
    </row>
    <row r="132" spans="1:6" x14ac:dyDescent="0.25">
      <c r="A132" s="29"/>
      <c r="B132" s="23"/>
      <c r="C132" s="23"/>
      <c r="D132" s="24"/>
      <c r="E132" s="24"/>
      <c r="F132" s="43"/>
    </row>
    <row r="133" spans="1:6" x14ac:dyDescent="0.25">
      <c r="A133" s="29"/>
      <c r="B133" s="23"/>
      <c r="C133" s="23"/>
      <c r="D133" s="24"/>
      <c r="E133" s="24"/>
      <c r="F133" s="43"/>
    </row>
    <row r="134" spans="1:6" x14ac:dyDescent="0.25">
      <c r="A134" s="29"/>
      <c r="B134" s="23"/>
      <c r="C134" s="23"/>
      <c r="D134" s="24"/>
      <c r="E134" s="24"/>
      <c r="F134" s="43"/>
    </row>
    <row r="135" spans="1:6" x14ac:dyDescent="0.25">
      <c r="A135" s="29"/>
      <c r="B135" s="23"/>
      <c r="C135" s="23"/>
      <c r="D135" s="24"/>
      <c r="E135" s="24"/>
      <c r="F135" s="43"/>
    </row>
    <row r="136" spans="1:6" x14ac:dyDescent="0.25">
      <c r="A136" s="29"/>
      <c r="B136" s="23"/>
      <c r="C136" s="23"/>
      <c r="D136" s="24"/>
      <c r="E136" s="24"/>
      <c r="F136" s="43"/>
    </row>
    <row r="137" spans="1:6" x14ac:dyDescent="0.25">
      <c r="A137" s="29"/>
      <c r="B137" s="23"/>
      <c r="C137" s="23"/>
      <c r="D137" s="24"/>
      <c r="E137" s="24"/>
      <c r="F137" s="43"/>
    </row>
    <row r="138" spans="1:6" x14ac:dyDescent="0.25">
      <c r="A138" s="29"/>
      <c r="B138" s="23"/>
      <c r="C138" s="23"/>
      <c r="D138" s="24"/>
      <c r="E138" s="24"/>
      <c r="F138" s="43"/>
    </row>
    <row r="139" spans="1:6" x14ac:dyDescent="0.25">
      <c r="A139" s="29"/>
      <c r="B139" s="23"/>
      <c r="C139" s="23"/>
      <c r="D139" s="24"/>
      <c r="E139" s="24"/>
      <c r="F139" s="43"/>
    </row>
    <row r="140" spans="1:6" x14ac:dyDescent="0.25">
      <c r="A140" s="29"/>
      <c r="B140" s="23"/>
      <c r="C140" s="23"/>
      <c r="D140" s="24"/>
      <c r="E140" s="24"/>
      <c r="F140" s="43"/>
    </row>
    <row r="141" spans="1:6" x14ac:dyDescent="0.25">
      <c r="A141" s="29"/>
      <c r="B141" s="23"/>
      <c r="C141" s="23"/>
      <c r="D141" s="24"/>
      <c r="E141" s="24"/>
      <c r="F141" s="43"/>
    </row>
    <row r="142" spans="1:6" x14ac:dyDescent="0.25">
      <c r="A142" s="29"/>
      <c r="B142" s="23"/>
      <c r="C142" s="23"/>
      <c r="D142" s="24"/>
      <c r="E142" s="24"/>
      <c r="F142" s="43"/>
    </row>
    <row r="143" spans="1:6" x14ac:dyDescent="0.25">
      <c r="A143" s="29"/>
      <c r="B143" s="23"/>
      <c r="C143" s="23"/>
      <c r="D143" s="24"/>
      <c r="E143" s="24"/>
      <c r="F143" s="43"/>
    </row>
    <row r="144" spans="1:6" x14ac:dyDescent="0.25">
      <c r="A144" s="29"/>
      <c r="B144" s="23"/>
      <c r="C144" s="23"/>
      <c r="D144" s="24"/>
      <c r="E144" s="24"/>
      <c r="F144" s="43"/>
    </row>
    <row r="145" spans="1:6" x14ac:dyDescent="0.25">
      <c r="A145" s="29"/>
      <c r="B145" s="23"/>
      <c r="C145" s="23"/>
      <c r="D145" s="24"/>
      <c r="E145" s="24"/>
      <c r="F145" s="43"/>
    </row>
    <row r="146" spans="1:6" x14ac:dyDescent="0.25">
      <c r="A146" s="29"/>
      <c r="B146" s="23"/>
      <c r="C146" s="23"/>
      <c r="D146" s="24"/>
      <c r="E146" s="24"/>
      <c r="F146" s="43"/>
    </row>
    <row r="147" spans="1:6" x14ac:dyDescent="0.25">
      <c r="A147" s="29"/>
      <c r="B147" s="23"/>
      <c r="C147" s="23"/>
      <c r="D147" s="24"/>
      <c r="E147" s="24"/>
      <c r="F147" s="43"/>
    </row>
    <row r="148" spans="1:6" x14ac:dyDescent="0.25">
      <c r="A148" s="29"/>
      <c r="B148" s="23"/>
      <c r="C148" s="23"/>
      <c r="D148" s="24"/>
      <c r="E148" s="24"/>
      <c r="F148" s="43"/>
    </row>
    <row r="149" spans="1:6" x14ac:dyDescent="0.25">
      <c r="A149" s="29"/>
      <c r="B149" s="23"/>
      <c r="C149" s="23"/>
      <c r="D149" s="24"/>
      <c r="E149" s="24"/>
      <c r="F149" s="43"/>
    </row>
    <row r="150" spans="1:6" x14ac:dyDescent="0.25">
      <c r="A150" s="29"/>
      <c r="B150" s="23"/>
      <c r="C150" s="23"/>
      <c r="D150" s="24"/>
      <c r="E150" s="24"/>
      <c r="F150" s="43"/>
    </row>
    <row r="151" spans="1:6" x14ac:dyDescent="0.25">
      <c r="A151" s="29"/>
      <c r="B151" s="23"/>
      <c r="C151" s="23"/>
      <c r="D151" s="24"/>
      <c r="E151" s="24"/>
      <c r="F151" s="43"/>
    </row>
    <row r="152" spans="1:6" x14ac:dyDescent="0.25">
      <c r="A152" s="29"/>
      <c r="B152" s="23"/>
      <c r="C152" s="23"/>
      <c r="D152" s="24"/>
      <c r="E152" s="24"/>
      <c r="F152" s="43"/>
    </row>
    <row r="153" spans="1:6" x14ac:dyDescent="0.25">
      <c r="A153" s="29"/>
      <c r="B153" s="23"/>
      <c r="C153" s="23"/>
      <c r="D153" s="24"/>
      <c r="E153" s="24"/>
      <c r="F153" s="43"/>
    </row>
    <row r="154" spans="1:6" x14ac:dyDescent="0.25">
      <c r="A154" s="29"/>
      <c r="B154" s="23"/>
      <c r="C154" s="23"/>
      <c r="D154" s="24"/>
      <c r="E154" s="24"/>
      <c r="F154" s="43"/>
    </row>
    <row r="155" spans="1:6" x14ac:dyDescent="0.25">
      <c r="A155" s="29"/>
      <c r="B155" s="23"/>
      <c r="C155" s="23"/>
      <c r="D155" s="24"/>
      <c r="E155" s="24"/>
      <c r="F155" s="43"/>
    </row>
    <row r="156" spans="1:6" x14ac:dyDescent="0.25">
      <c r="A156" s="29"/>
      <c r="B156" s="23"/>
      <c r="C156" s="23"/>
      <c r="D156" s="24"/>
      <c r="E156" s="24"/>
      <c r="F156" s="43"/>
    </row>
    <row r="157" spans="1:6" x14ac:dyDescent="0.25">
      <c r="A157" s="29"/>
      <c r="B157" s="23"/>
      <c r="C157" s="23"/>
      <c r="D157" s="24"/>
      <c r="E157" s="24"/>
      <c r="F157" s="43"/>
    </row>
    <row r="158" spans="1:6" x14ac:dyDescent="0.25">
      <c r="A158" s="29"/>
      <c r="B158" s="23"/>
      <c r="C158" s="23"/>
      <c r="D158" s="24"/>
      <c r="E158" s="24"/>
      <c r="F158" s="43"/>
    </row>
    <row r="159" spans="1:6" x14ac:dyDescent="0.25">
      <c r="A159" s="29"/>
      <c r="B159" s="23"/>
      <c r="C159" s="23"/>
      <c r="D159" s="24"/>
      <c r="E159" s="24"/>
      <c r="F159" s="43"/>
    </row>
    <row r="160" spans="1:6" x14ac:dyDescent="0.25">
      <c r="A160" s="29"/>
      <c r="B160" s="23"/>
      <c r="C160" s="23"/>
      <c r="D160" s="24"/>
      <c r="E160" s="24"/>
      <c r="F160" s="43"/>
    </row>
    <row r="161" spans="1:6" x14ac:dyDescent="0.25">
      <c r="A161" s="29"/>
      <c r="B161" s="23"/>
      <c r="C161" s="23"/>
      <c r="D161" s="24"/>
      <c r="E161" s="24"/>
      <c r="F161" s="43"/>
    </row>
    <row r="162" spans="1:6" x14ac:dyDescent="0.25">
      <c r="A162" s="29"/>
      <c r="B162" s="23"/>
      <c r="C162" s="23"/>
      <c r="D162" s="24"/>
      <c r="E162" s="24"/>
      <c r="F162" s="43"/>
    </row>
    <row r="163" spans="1:6" x14ac:dyDescent="0.25">
      <c r="A163" s="29"/>
      <c r="B163" s="23"/>
      <c r="C163" s="23"/>
      <c r="D163" s="24"/>
      <c r="E163" s="24"/>
      <c r="F163" s="43"/>
    </row>
    <row r="164" spans="1:6" x14ac:dyDescent="0.25">
      <c r="A164" s="29"/>
      <c r="B164" s="23"/>
      <c r="C164" s="23"/>
      <c r="D164" s="24"/>
      <c r="E164" s="24"/>
      <c r="F164" s="43"/>
    </row>
    <row r="165" spans="1:6" x14ac:dyDescent="0.25">
      <c r="A165" s="29"/>
      <c r="B165" s="23"/>
      <c r="C165" s="23"/>
      <c r="D165" s="24"/>
      <c r="E165" s="24"/>
      <c r="F165" s="43"/>
    </row>
    <row r="166" spans="1:6" x14ac:dyDescent="0.25">
      <c r="A166" s="29"/>
      <c r="B166" s="23"/>
      <c r="C166" s="23"/>
      <c r="D166" s="24"/>
      <c r="E166" s="24"/>
      <c r="F166" s="43"/>
    </row>
    <row r="167" spans="1:6" x14ac:dyDescent="0.25">
      <c r="A167" s="29"/>
      <c r="B167" s="23"/>
      <c r="C167" s="23"/>
      <c r="D167" s="24"/>
      <c r="E167" s="24"/>
      <c r="F167" s="43"/>
    </row>
    <row r="168" spans="1:6" x14ac:dyDescent="0.25">
      <c r="A168" s="29"/>
      <c r="B168" s="23"/>
      <c r="C168" s="23"/>
      <c r="D168" s="24"/>
      <c r="E168" s="24"/>
      <c r="F168" s="43"/>
    </row>
    <row r="169" spans="1:6" x14ac:dyDescent="0.25">
      <c r="A169" s="29"/>
      <c r="B169" s="23"/>
      <c r="C169" s="23"/>
      <c r="D169" s="24"/>
      <c r="E169" s="24"/>
      <c r="F169" s="43"/>
    </row>
    <row r="170" spans="1:6" x14ac:dyDescent="0.25">
      <c r="A170" s="29"/>
      <c r="B170" s="23"/>
      <c r="C170" s="23"/>
      <c r="D170" s="24"/>
      <c r="E170" s="24"/>
      <c r="F170" s="43"/>
    </row>
    <row r="171" spans="1:6" x14ac:dyDescent="0.25">
      <c r="A171" s="29"/>
      <c r="B171" s="23"/>
      <c r="C171" s="23"/>
      <c r="D171" s="24"/>
      <c r="E171" s="24"/>
      <c r="F171" s="43"/>
    </row>
    <row r="172" spans="1:6" x14ac:dyDescent="0.25">
      <c r="A172" s="29"/>
      <c r="B172" s="23"/>
      <c r="C172" s="23"/>
      <c r="D172" s="24"/>
      <c r="E172" s="24"/>
      <c r="F172" s="43"/>
    </row>
    <row r="173" spans="1:6" x14ac:dyDescent="0.25">
      <c r="A173" s="29"/>
      <c r="B173" s="23"/>
      <c r="C173" s="23"/>
      <c r="D173" s="24"/>
      <c r="E173" s="24"/>
      <c r="F173" s="43"/>
    </row>
    <row r="174" spans="1:6" x14ac:dyDescent="0.25">
      <c r="A174" s="29"/>
      <c r="B174" s="23"/>
      <c r="C174" s="23"/>
      <c r="D174" s="24"/>
      <c r="E174" s="24"/>
      <c r="F174" s="43"/>
    </row>
    <row r="175" spans="1:6" x14ac:dyDescent="0.25">
      <c r="A175" s="29"/>
      <c r="B175" s="23"/>
      <c r="C175" s="23"/>
      <c r="D175" s="24"/>
      <c r="E175" s="24"/>
      <c r="F175" s="43"/>
    </row>
    <row r="176" spans="1:6" x14ac:dyDescent="0.25">
      <c r="A176" s="29"/>
      <c r="B176" s="23"/>
      <c r="C176" s="23"/>
      <c r="D176" s="24"/>
      <c r="E176" s="24"/>
      <c r="F176" s="43"/>
    </row>
    <row r="177" spans="1:6" x14ac:dyDescent="0.25">
      <c r="A177" s="29"/>
      <c r="B177" s="23"/>
      <c r="C177" s="23"/>
      <c r="D177" s="24"/>
      <c r="E177" s="24"/>
      <c r="F177" s="43"/>
    </row>
    <row r="178" spans="1:6" x14ac:dyDescent="0.25">
      <c r="A178" s="29"/>
      <c r="B178" s="23"/>
      <c r="C178" s="23"/>
      <c r="D178" s="24"/>
      <c r="E178" s="24"/>
      <c r="F178" s="43"/>
    </row>
    <row r="179" spans="1:6" x14ac:dyDescent="0.25">
      <c r="A179" s="29"/>
      <c r="B179" s="23"/>
      <c r="C179" s="23"/>
      <c r="D179" s="24"/>
      <c r="E179" s="24"/>
      <c r="F179" s="43"/>
    </row>
    <row r="180" spans="1:6" x14ac:dyDescent="0.25">
      <c r="A180" s="29"/>
      <c r="B180" s="23"/>
      <c r="C180" s="23"/>
      <c r="D180" s="24"/>
      <c r="E180" s="24"/>
      <c r="F180" s="43"/>
    </row>
    <row r="181" spans="1:6" x14ac:dyDescent="0.25">
      <c r="A181" s="29"/>
      <c r="B181" s="23"/>
      <c r="C181" s="23"/>
      <c r="D181" s="24"/>
      <c r="E181" s="24"/>
      <c r="F181" s="43"/>
    </row>
    <row r="182" spans="1:6" x14ac:dyDescent="0.25">
      <c r="A182" s="29"/>
      <c r="B182" s="23"/>
      <c r="C182" s="23"/>
      <c r="D182" s="24"/>
      <c r="E182" s="24"/>
      <c r="F182" s="43"/>
    </row>
    <row r="183" spans="1:6" x14ac:dyDescent="0.25">
      <c r="A183" s="29"/>
      <c r="B183" s="23"/>
      <c r="C183" s="23"/>
      <c r="D183" s="24"/>
      <c r="E183" s="24"/>
      <c r="F183" s="43"/>
    </row>
    <row r="184" spans="1:6" x14ac:dyDescent="0.25">
      <c r="A184" s="29"/>
      <c r="B184" s="23"/>
      <c r="C184" s="23"/>
      <c r="D184" s="24"/>
      <c r="E184" s="24"/>
      <c r="F184" s="43"/>
    </row>
    <row r="185" spans="1:6" x14ac:dyDescent="0.25">
      <c r="A185" s="29"/>
      <c r="B185" s="23"/>
      <c r="C185" s="23"/>
      <c r="D185" s="24"/>
      <c r="E185" s="24"/>
      <c r="F185" s="43"/>
    </row>
    <row r="186" spans="1:6" x14ac:dyDescent="0.25">
      <c r="A186" s="29"/>
      <c r="B186" s="23"/>
      <c r="C186" s="23"/>
      <c r="D186" s="24"/>
      <c r="E186" s="24"/>
      <c r="F186" s="43"/>
    </row>
    <row r="187" spans="1:6" x14ac:dyDescent="0.25">
      <c r="A187" s="29"/>
      <c r="B187" s="23"/>
      <c r="C187" s="23"/>
      <c r="D187" s="24"/>
      <c r="E187" s="24"/>
      <c r="F187" s="43"/>
    </row>
    <row r="188" spans="1:6" x14ac:dyDescent="0.25">
      <c r="A188" s="29"/>
      <c r="B188" s="23"/>
      <c r="C188" s="23"/>
      <c r="D188" s="24"/>
      <c r="E188" s="24"/>
      <c r="F188" s="43"/>
    </row>
    <row r="189" spans="1:6" x14ac:dyDescent="0.25">
      <c r="A189" s="29"/>
      <c r="B189" s="23"/>
      <c r="C189" s="23"/>
      <c r="D189" s="24"/>
      <c r="E189" s="24"/>
      <c r="F189" s="43"/>
    </row>
    <row r="190" spans="1:6" x14ac:dyDescent="0.25">
      <c r="A190" s="29"/>
      <c r="B190" s="23"/>
      <c r="C190" s="23"/>
      <c r="D190" s="24"/>
      <c r="E190" s="24"/>
      <c r="F190" s="43"/>
    </row>
    <row r="191" spans="1:6" x14ac:dyDescent="0.25">
      <c r="A191" s="29"/>
      <c r="B191" s="23"/>
      <c r="C191" s="23"/>
      <c r="D191" s="24"/>
      <c r="E191" s="24"/>
      <c r="F191" s="43"/>
    </row>
    <row r="192" spans="1:6" x14ac:dyDescent="0.25">
      <c r="A192" s="29"/>
      <c r="B192" s="23"/>
      <c r="C192" s="23"/>
      <c r="D192" s="24"/>
      <c r="E192" s="24"/>
      <c r="F192" s="43"/>
    </row>
    <row r="193" spans="1:6" x14ac:dyDescent="0.25">
      <c r="A193" s="29"/>
      <c r="B193" s="23"/>
      <c r="C193" s="23"/>
      <c r="D193" s="24"/>
      <c r="E193" s="24"/>
      <c r="F193" s="43"/>
    </row>
    <row r="194" spans="1:6" x14ac:dyDescent="0.25">
      <c r="A194" s="29"/>
      <c r="B194" s="23"/>
      <c r="C194" s="23"/>
      <c r="D194" s="24"/>
      <c r="E194" s="24"/>
      <c r="F194" s="43"/>
    </row>
    <row r="195" spans="1:6" x14ac:dyDescent="0.25">
      <c r="A195" s="29"/>
      <c r="B195" s="23"/>
      <c r="C195" s="23"/>
      <c r="D195" s="24"/>
      <c r="E195" s="24"/>
      <c r="F195" s="43"/>
    </row>
    <row r="196" spans="1:6" x14ac:dyDescent="0.25">
      <c r="A196" s="29"/>
      <c r="B196" s="23"/>
      <c r="C196" s="23"/>
      <c r="D196" s="24"/>
      <c r="E196" s="24"/>
      <c r="F196" s="43"/>
    </row>
    <row r="197" spans="1:6" x14ac:dyDescent="0.25">
      <c r="A197" s="29"/>
      <c r="B197" s="23"/>
      <c r="C197" s="23"/>
      <c r="D197" s="24"/>
      <c r="E197" s="24"/>
      <c r="F197" s="43"/>
    </row>
    <row r="198" spans="1:6" x14ac:dyDescent="0.25">
      <c r="A198" s="29"/>
      <c r="B198" s="23"/>
      <c r="C198" s="23"/>
      <c r="D198" s="24"/>
      <c r="E198" s="24"/>
      <c r="F198" s="43"/>
    </row>
    <row r="199" spans="1:6" x14ac:dyDescent="0.25">
      <c r="A199" s="29"/>
      <c r="B199" s="23"/>
      <c r="C199" s="23"/>
      <c r="D199" s="24"/>
      <c r="E199" s="24"/>
      <c r="F199" s="43"/>
    </row>
    <row r="200" spans="1:6" x14ac:dyDescent="0.25">
      <c r="A200" s="29"/>
      <c r="B200" s="23"/>
      <c r="C200" s="23"/>
      <c r="D200" s="24"/>
      <c r="E200" s="24"/>
      <c r="F200" s="43"/>
    </row>
    <row r="201" spans="1:6" x14ac:dyDescent="0.25">
      <c r="A201" s="29"/>
      <c r="B201" s="23"/>
      <c r="C201" s="23"/>
      <c r="D201" s="24"/>
      <c r="E201" s="24"/>
      <c r="F201" s="43"/>
    </row>
    <row r="202" spans="1:6" x14ac:dyDescent="0.25">
      <c r="A202" s="29"/>
      <c r="B202" s="23"/>
      <c r="C202" s="23"/>
      <c r="D202" s="24"/>
      <c r="E202" s="24"/>
      <c r="F202" s="43"/>
    </row>
    <row r="203" spans="1:6" x14ac:dyDescent="0.25">
      <c r="A203" s="29"/>
      <c r="B203" s="23"/>
      <c r="C203" s="23"/>
      <c r="D203" s="24"/>
      <c r="E203" s="24"/>
      <c r="F203" s="43"/>
    </row>
    <row r="204" spans="1:6" x14ac:dyDescent="0.25">
      <c r="A204" s="29"/>
      <c r="B204" s="23"/>
      <c r="C204" s="23"/>
      <c r="D204" s="24"/>
      <c r="E204" s="24"/>
      <c r="F204" s="43"/>
    </row>
    <row r="205" spans="1:6" x14ac:dyDescent="0.25">
      <c r="A205" s="29"/>
      <c r="B205" s="23"/>
      <c r="C205" s="23"/>
      <c r="D205" s="24"/>
      <c r="E205" s="24"/>
      <c r="F205" s="43"/>
    </row>
    <row r="206" spans="1:6" x14ac:dyDescent="0.25">
      <c r="A206" s="29"/>
      <c r="B206" s="23"/>
      <c r="C206" s="23"/>
      <c r="D206" s="24"/>
      <c r="E206" s="24"/>
      <c r="F206" s="43"/>
    </row>
    <row r="207" spans="1:6" x14ac:dyDescent="0.25">
      <c r="A207" s="29"/>
      <c r="B207" s="23"/>
      <c r="C207" s="23"/>
      <c r="D207" s="24"/>
      <c r="E207" s="24"/>
      <c r="F207" s="43"/>
    </row>
    <row r="208" spans="1:6" x14ac:dyDescent="0.25">
      <c r="A208" s="29"/>
      <c r="B208" s="23"/>
      <c r="C208" s="23"/>
      <c r="D208" s="24"/>
      <c r="E208" s="24"/>
      <c r="F208" s="43"/>
    </row>
    <row r="209" spans="1:6" x14ac:dyDescent="0.25">
      <c r="A209" s="29"/>
      <c r="B209" s="23"/>
      <c r="C209" s="23"/>
      <c r="D209" s="24"/>
      <c r="E209" s="24"/>
      <c r="F209" s="43"/>
    </row>
    <row r="210" spans="1:6" x14ac:dyDescent="0.25">
      <c r="A210" s="29"/>
      <c r="B210" s="23"/>
      <c r="C210" s="23"/>
      <c r="D210" s="24"/>
      <c r="E210" s="24"/>
      <c r="F210" s="43"/>
    </row>
    <row r="211" spans="1:6" x14ac:dyDescent="0.25">
      <c r="A211" s="29"/>
      <c r="B211" s="23"/>
      <c r="C211" s="23"/>
      <c r="D211" s="24"/>
      <c r="E211" s="24"/>
      <c r="F211" s="43"/>
    </row>
    <row r="212" spans="1:6" x14ac:dyDescent="0.25">
      <c r="A212" s="29"/>
      <c r="B212" s="23"/>
      <c r="C212" s="23"/>
      <c r="D212" s="24"/>
      <c r="E212" s="24"/>
      <c r="F212" s="43"/>
    </row>
    <row r="213" spans="1:6" x14ac:dyDescent="0.25">
      <c r="A213" s="29"/>
      <c r="B213" s="23"/>
      <c r="C213" s="23"/>
      <c r="D213" s="24"/>
      <c r="E213" s="24"/>
      <c r="F213" s="43"/>
    </row>
    <row r="214" spans="1:6" x14ac:dyDescent="0.25">
      <c r="A214" s="29"/>
      <c r="B214" s="23"/>
      <c r="C214" s="23"/>
      <c r="D214" s="24"/>
      <c r="E214" s="24"/>
      <c r="F214" s="43"/>
    </row>
    <row r="215" spans="1:6" x14ac:dyDescent="0.25">
      <c r="A215" s="29"/>
      <c r="B215" s="23"/>
      <c r="C215" s="23"/>
      <c r="D215" s="24"/>
      <c r="E215" s="24"/>
      <c r="F215" s="43"/>
    </row>
    <row r="216" spans="1:6" x14ac:dyDescent="0.25">
      <c r="A216" s="29"/>
      <c r="B216" s="23"/>
      <c r="C216" s="23"/>
      <c r="D216" s="24"/>
      <c r="E216" s="24"/>
      <c r="F216" s="43"/>
    </row>
    <row r="217" spans="1:6" x14ac:dyDescent="0.25">
      <c r="A217" s="29"/>
      <c r="B217" s="23"/>
      <c r="C217" s="23"/>
      <c r="D217" s="24"/>
      <c r="E217" s="24"/>
      <c r="F217" s="43"/>
    </row>
    <row r="218" spans="1:6" x14ac:dyDescent="0.25">
      <c r="A218" s="29"/>
      <c r="B218" s="23"/>
      <c r="C218" s="23"/>
      <c r="D218" s="24"/>
      <c r="E218" s="24"/>
      <c r="F218" s="43"/>
    </row>
    <row r="219" spans="1:6" x14ac:dyDescent="0.25">
      <c r="A219" s="29"/>
      <c r="B219" s="23"/>
      <c r="C219" s="23"/>
      <c r="D219" s="24"/>
      <c r="E219" s="24"/>
      <c r="F219" s="43"/>
    </row>
    <row r="220" spans="1:6" x14ac:dyDescent="0.25">
      <c r="A220" s="29"/>
      <c r="B220" s="23"/>
      <c r="C220" s="23"/>
      <c r="D220" s="24"/>
      <c r="E220" s="24"/>
      <c r="F220" s="43"/>
    </row>
    <row r="221" spans="1:6" x14ac:dyDescent="0.25">
      <c r="A221" s="29"/>
      <c r="B221" s="23"/>
      <c r="C221" s="23"/>
      <c r="D221" s="24"/>
      <c r="E221" s="24"/>
      <c r="F221" s="43"/>
    </row>
    <row r="222" spans="1:6" x14ac:dyDescent="0.25">
      <c r="A222" s="29"/>
      <c r="B222" s="23"/>
      <c r="C222" s="23"/>
      <c r="D222" s="24"/>
      <c r="E222" s="24"/>
      <c r="F222" s="43"/>
    </row>
    <row r="223" spans="1:6" x14ac:dyDescent="0.25">
      <c r="A223" s="29"/>
      <c r="B223" s="23"/>
      <c r="C223" s="23"/>
      <c r="D223" s="24"/>
      <c r="E223" s="24"/>
      <c r="F223" s="43"/>
    </row>
    <row r="224" spans="1:6" x14ac:dyDescent="0.25">
      <c r="A224" s="29"/>
      <c r="B224" s="23"/>
      <c r="C224" s="23"/>
      <c r="D224" s="24"/>
      <c r="E224" s="24"/>
      <c r="F224" s="43"/>
    </row>
    <row r="225" spans="1:6" x14ac:dyDescent="0.25">
      <c r="A225" s="29"/>
      <c r="B225" s="23"/>
      <c r="C225" s="23"/>
      <c r="D225" s="24"/>
      <c r="E225" s="24"/>
      <c r="F225" s="43"/>
    </row>
    <row r="226" spans="1:6" x14ac:dyDescent="0.25">
      <c r="A226" s="29"/>
      <c r="B226" s="23"/>
      <c r="C226" s="23"/>
      <c r="D226" s="24"/>
      <c r="E226" s="24"/>
      <c r="F226" s="43"/>
    </row>
    <row r="227" spans="1:6" x14ac:dyDescent="0.25">
      <c r="A227" s="29"/>
      <c r="B227" s="23"/>
      <c r="C227" s="23"/>
      <c r="D227" s="24"/>
      <c r="E227" s="24"/>
      <c r="F227" s="43"/>
    </row>
    <row r="228" spans="1:6" x14ac:dyDescent="0.25">
      <c r="A228" s="29"/>
      <c r="B228" s="23"/>
      <c r="C228" s="23"/>
      <c r="D228" s="24"/>
      <c r="E228" s="24"/>
      <c r="F228" s="43"/>
    </row>
    <row r="229" spans="1:6" x14ac:dyDescent="0.25">
      <c r="A229" s="29"/>
      <c r="B229" s="23"/>
      <c r="C229" s="23"/>
      <c r="D229" s="24"/>
      <c r="E229" s="24"/>
      <c r="F229" s="43"/>
    </row>
    <row r="230" spans="1:6" x14ac:dyDescent="0.25">
      <c r="A230" s="29"/>
      <c r="B230" s="23"/>
      <c r="C230" s="23"/>
      <c r="D230" s="24"/>
      <c r="E230" s="24"/>
      <c r="F230" s="43"/>
    </row>
    <row r="231" spans="1:6" x14ac:dyDescent="0.25">
      <c r="A231" s="29"/>
      <c r="B231" s="23"/>
      <c r="C231" s="23"/>
      <c r="D231" s="24"/>
      <c r="E231" s="24"/>
      <c r="F231" s="43"/>
    </row>
    <row r="232" spans="1:6" x14ac:dyDescent="0.25">
      <c r="A232" s="29"/>
      <c r="B232" s="23"/>
      <c r="C232" s="23"/>
      <c r="D232" s="24"/>
      <c r="E232" s="24"/>
      <c r="F232" s="43"/>
    </row>
    <row r="233" spans="1:6" x14ac:dyDescent="0.25">
      <c r="A233" s="29"/>
      <c r="B233" s="23"/>
      <c r="C233" s="23"/>
      <c r="D233" s="24"/>
      <c r="E233" s="24"/>
      <c r="F233" s="43"/>
    </row>
    <row r="234" spans="1:6" x14ac:dyDescent="0.25">
      <c r="A234" s="29"/>
      <c r="B234" s="23"/>
      <c r="C234" s="23"/>
      <c r="D234" s="24"/>
      <c r="E234" s="24"/>
      <c r="F234" s="43"/>
    </row>
    <row r="235" spans="1:6" x14ac:dyDescent="0.25">
      <c r="A235" s="29"/>
      <c r="B235" s="23"/>
      <c r="C235" s="23"/>
      <c r="D235" s="24"/>
      <c r="E235" s="24"/>
      <c r="F235" s="43"/>
    </row>
    <row r="236" spans="1:6" x14ac:dyDescent="0.25">
      <c r="A236" s="29"/>
      <c r="B236" s="23"/>
      <c r="C236" s="23"/>
      <c r="D236" s="24"/>
      <c r="E236" s="24"/>
      <c r="F236" s="43"/>
    </row>
    <row r="237" spans="1:6" x14ac:dyDescent="0.25">
      <c r="A237" s="29"/>
      <c r="B237" s="23"/>
      <c r="C237" s="23"/>
      <c r="D237" s="24"/>
      <c r="E237" s="24"/>
      <c r="F237" s="43"/>
    </row>
    <row r="238" spans="1:6" x14ac:dyDescent="0.25">
      <c r="A238" s="29"/>
      <c r="B238" s="23"/>
      <c r="C238" s="23"/>
      <c r="D238" s="24"/>
      <c r="E238" s="24"/>
      <c r="F238" s="43"/>
    </row>
    <row r="239" spans="1:6" x14ac:dyDescent="0.25">
      <c r="A239" s="29"/>
      <c r="B239" s="23"/>
      <c r="C239" s="23"/>
      <c r="D239" s="24"/>
      <c r="E239" s="24"/>
      <c r="F239" s="43"/>
    </row>
    <row r="240" spans="1:6" x14ac:dyDescent="0.25">
      <c r="A240" s="29"/>
      <c r="B240" s="23"/>
      <c r="C240" s="23"/>
      <c r="D240" s="24"/>
      <c r="E240" s="24"/>
      <c r="F240" s="43"/>
    </row>
    <row r="241" spans="1:6" x14ac:dyDescent="0.25">
      <c r="A241" s="29"/>
      <c r="B241" s="23"/>
      <c r="C241" s="23"/>
      <c r="D241" s="24"/>
      <c r="E241" s="24"/>
      <c r="F241" s="43"/>
    </row>
    <row r="242" spans="1:6" x14ac:dyDescent="0.25">
      <c r="A242" s="29"/>
      <c r="B242" s="23"/>
      <c r="C242" s="23"/>
      <c r="D242" s="24"/>
      <c r="E242" s="24"/>
      <c r="F242" s="43"/>
    </row>
    <row r="243" spans="1:6" x14ac:dyDescent="0.25">
      <c r="A243" s="29"/>
      <c r="B243" s="23"/>
      <c r="C243" s="23"/>
      <c r="D243" s="24"/>
      <c r="E243" s="24"/>
      <c r="F243" s="43"/>
    </row>
    <row r="244" spans="1:6" x14ac:dyDescent="0.25">
      <c r="A244" s="29"/>
      <c r="B244" s="23"/>
      <c r="C244" s="23"/>
      <c r="D244" s="24"/>
      <c r="E244" s="24"/>
      <c r="F244" s="43"/>
    </row>
    <row r="245" spans="1:6" x14ac:dyDescent="0.25">
      <c r="A245" s="29"/>
      <c r="B245" s="23"/>
      <c r="C245" s="23"/>
      <c r="D245" s="24"/>
      <c r="E245" s="24"/>
      <c r="F245" s="43"/>
    </row>
    <row r="246" spans="1:6" x14ac:dyDescent="0.25">
      <c r="A246" s="29"/>
      <c r="B246" s="23"/>
      <c r="C246" s="23"/>
      <c r="D246" s="24"/>
      <c r="E246" s="24"/>
      <c r="F246" s="43"/>
    </row>
    <row r="247" spans="1:6" x14ac:dyDescent="0.25">
      <c r="A247" s="29"/>
      <c r="B247" s="23"/>
      <c r="C247" s="23"/>
      <c r="D247" s="24"/>
      <c r="E247" s="24"/>
      <c r="F247" s="43"/>
    </row>
    <row r="248" spans="1:6" x14ac:dyDescent="0.25">
      <c r="A248" s="29"/>
      <c r="B248" s="23"/>
      <c r="C248" s="23"/>
      <c r="D248" s="24"/>
      <c r="E248" s="24"/>
      <c r="F248" s="43"/>
    </row>
    <row r="249" spans="1:6" x14ac:dyDescent="0.25">
      <c r="A249" s="29"/>
      <c r="B249" s="23"/>
      <c r="C249" s="23"/>
      <c r="D249" s="24"/>
      <c r="E249" s="24"/>
      <c r="F249" s="43"/>
    </row>
    <row r="250" spans="1:6" x14ac:dyDescent="0.25">
      <c r="A250" s="29"/>
      <c r="B250" s="23"/>
      <c r="C250" s="23"/>
      <c r="D250" s="24"/>
      <c r="E250" s="24"/>
      <c r="F250" s="43"/>
    </row>
    <row r="251" spans="1:6" x14ac:dyDescent="0.25">
      <c r="A251" s="29"/>
      <c r="B251" s="23"/>
      <c r="C251" s="23"/>
      <c r="D251" s="24"/>
      <c r="E251" s="24"/>
      <c r="F251" s="43"/>
    </row>
    <row r="252" spans="1:6" x14ac:dyDescent="0.25">
      <c r="A252" s="29"/>
      <c r="B252" s="23"/>
      <c r="C252" s="23"/>
      <c r="D252" s="24"/>
      <c r="E252" s="24"/>
      <c r="F252" s="43"/>
    </row>
    <row r="253" spans="1:6" x14ac:dyDescent="0.25">
      <c r="A253" s="29"/>
      <c r="B253" s="23"/>
      <c r="C253" s="23"/>
      <c r="D253" s="24"/>
      <c r="E253" s="24"/>
      <c r="F253" s="43"/>
    </row>
    <row r="254" spans="1:6" x14ac:dyDescent="0.25">
      <c r="A254" s="29"/>
      <c r="B254" s="23"/>
      <c r="C254" s="23"/>
      <c r="D254" s="24"/>
      <c r="E254" s="24"/>
      <c r="F254" s="43"/>
    </row>
    <row r="255" spans="1:6" x14ac:dyDescent="0.25">
      <c r="A255" s="29"/>
      <c r="B255" s="23"/>
      <c r="C255" s="23"/>
      <c r="D255" s="24"/>
      <c r="E255" s="24"/>
      <c r="F255" s="43"/>
    </row>
    <row r="256" spans="1:6" x14ac:dyDescent="0.25">
      <c r="A256" s="29"/>
      <c r="B256" s="23"/>
      <c r="C256" s="23"/>
      <c r="D256" s="24"/>
      <c r="E256" s="24"/>
      <c r="F256" s="43"/>
    </row>
    <row r="257" spans="1:6" x14ac:dyDescent="0.25">
      <c r="A257" s="29"/>
      <c r="B257" s="23"/>
      <c r="C257" s="23"/>
      <c r="D257" s="24"/>
      <c r="E257" s="24"/>
      <c r="F257" s="43"/>
    </row>
    <row r="258" spans="1:6" x14ac:dyDescent="0.25">
      <c r="A258" s="29"/>
      <c r="B258" s="23"/>
      <c r="C258" s="23"/>
      <c r="D258" s="24"/>
      <c r="E258" s="24"/>
      <c r="F258" s="43"/>
    </row>
    <row r="259" spans="1:6" x14ac:dyDescent="0.25">
      <c r="A259" s="29"/>
      <c r="B259" s="23"/>
      <c r="C259" s="23"/>
      <c r="D259" s="24"/>
      <c r="E259" s="24"/>
      <c r="F259" s="43"/>
    </row>
    <row r="260" spans="1:6" x14ac:dyDescent="0.25">
      <c r="A260" s="29"/>
      <c r="B260" s="23"/>
      <c r="C260" s="23"/>
      <c r="D260" s="24"/>
      <c r="E260" s="24"/>
      <c r="F260" s="43"/>
    </row>
    <row r="261" spans="1:6" x14ac:dyDescent="0.25">
      <c r="A261" s="29"/>
      <c r="B261" s="23"/>
      <c r="C261" s="23"/>
      <c r="D261" s="24"/>
      <c r="E261" s="24"/>
      <c r="F261" s="43"/>
    </row>
    <row r="262" spans="1:6" x14ac:dyDescent="0.25">
      <c r="A262" s="29"/>
      <c r="B262" s="23"/>
      <c r="C262" s="23"/>
      <c r="D262" s="24"/>
      <c r="E262" s="24"/>
      <c r="F262" s="43"/>
    </row>
    <row r="263" spans="1:6" x14ac:dyDescent="0.25">
      <c r="A263" s="29"/>
      <c r="B263" s="23"/>
      <c r="C263" s="23"/>
      <c r="D263" s="24"/>
      <c r="E263" s="24"/>
      <c r="F263" s="43"/>
    </row>
    <row r="264" spans="1:6" x14ac:dyDescent="0.25">
      <c r="A264" s="29"/>
      <c r="B264" s="23"/>
      <c r="C264" s="23"/>
      <c r="D264" s="24"/>
      <c r="E264" s="24"/>
      <c r="F264" s="43"/>
    </row>
    <row r="265" spans="1:6" x14ac:dyDescent="0.25">
      <c r="A265" s="29"/>
      <c r="B265" s="23"/>
      <c r="C265" s="23"/>
      <c r="D265" s="24"/>
      <c r="E265" s="24"/>
      <c r="F265" s="43"/>
    </row>
    <row r="266" spans="1:6" x14ac:dyDescent="0.25">
      <c r="A266" s="29"/>
      <c r="B266" s="23"/>
      <c r="C266" s="23"/>
      <c r="D266" s="24"/>
      <c r="E266" s="24"/>
      <c r="F266" s="43"/>
    </row>
    <row r="267" spans="1:6" x14ac:dyDescent="0.25">
      <c r="A267" s="29"/>
      <c r="B267" s="23"/>
      <c r="C267" s="23"/>
      <c r="D267" s="24"/>
      <c r="E267" s="24"/>
      <c r="F267" s="43"/>
    </row>
    <row r="268" spans="1:6" x14ac:dyDescent="0.25">
      <c r="A268" s="29"/>
      <c r="B268" s="23"/>
      <c r="C268" s="23"/>
      <c r="D268" s="24"/>
      <c r="E268" s="24"/>
      <c r="F268" s="43"/>
    </row>
    <row r="269" spans="1:6" x14ac:dyDescent="0.25">
      <c r="A269" s="29"/>
      <c r="B269" s="23"/>
      <c r="C269" s="23"/>
      <c r="D269" s="24"/>
      <c r="E269" s="24"/>
      <c r="F269" s="43"/>
    </row>
    <row r="270" spans="1:6" x14ac:dyDescent="0.25">
      <c r="A270" s="29"/>
      <c r="B270" s="23"/>
      <c r="C270" s="23"/>
      <c r="D270" s="24"/>
      <c r="E270" s="24"/>
      <c r="F270" s="43"/>
    </row>
    <row r="271" spans="1:6" x14ac:dyDescent="0.25">
      <c r="A271" s="29"/>
      <c r="B271" s="23"/>
      <c r="C271" s="23"/>
      <c r="D271" s="24"/>
      <c r="E271" s="24"/>
      <c r="F271" s="43"/>
    </row>
    <row r="272" spans="1:6" x14ac:dyDescent="0.25">
      <c r="A272" s="29"/>
      <c r="B272" s="23"/>
      <c r="C272" s="23"/>
      <c r="D272" s="24"/>
      <c r="E272" s="24"/>
      <c r="F272" s="43"/>
    </row>
    <row r="273" spans="1:6" x14ac:dyDescent="0.25">
      <c r="A273" s="29"/>
      <c r="B273" s="23"/>
      <c r="C273" s="23"/>
      <c r="D273" s="24"/>
      <c r="E273" s="24"/>
      <c r="F273" s="43"/>
    </row>
    <row r="274" spans="1:6" x14ac:dyDescent="0.25">
      <c r="A274" s="29"/>
      <c r="B274" s="23"/>
      <c r="C274" s="23"/>
      <c r="D274" s="24"/>
      <c r="E274" s="24"/>
      <c r="F274" s="43"/>
    </row>
    <row r="275" spans="1:6" x14ac:dyDescent="0.25">
      <c r="A275" s="29"/>
      <c r="B275" s="23"/>
      <c r="C275" s="23"/>
      <c r="D275" s="24"/>
      <c r="E275" s="24"/>
      <c r="F275" s="43"/>
    </row>
    <row r="276" spans="1:6" x14ac:dyDescent="0.25">
      <c r="A276" s="29"/>
      <c r="B276" s="23"/>
      <c r="C276" s="23"/>
      <c r="D276" s="24"/>
      <c r="E276" s="24"/>
      <c r="F276" s="43"/>
    </row>
    <row r="277" spans="1:6" x14ac:dyDescent="0.25">
      <c r="A277" s="29"/>
      <c r="B277" s="23"/>
      <c r="C277" s="23"/>
      <c r="D277" s="24"/>
      <c r="E277" s="24"/>
      <c r="F277" s="43"/>
    </row>
    <row r="278" spans="1:6" x14ac:dyDescent="0.25">
      <c r="A278" s="29"/>
      <c r="B278" s="23"/>
      <c r="C278" s="23"/>
      <c r="D278" s="24"/>
      <c r="E278" s="24"/>
      <c r="F278" s="43"/>
    </row>
    <row r="279" spans="1:6" x14ac:dyDescent="0.25">
      <c r="A279" s="29"/>
      <c r="B279" s="23"/>
      <c r="C279" s="23"/>
      <c r="D279" s="24"/>
      <c r="E279" s="24"/>
      <c r="F279" s="43"/>
    </row>
    <row r="280" spans="1:6" x14ac:dyDescent="0.25">
      <c r="A280" s="29"/>
      <c r="B280" s="23"/>
      <c r="C280" s="23"/>
      <c r="D280" s="24"/>
      <c r="E280" s="24"/>
      <c r="F280" s="43"/>
    </row>
    <row r="281" spans="1:6" x14ac:dyDescent="0.25">
      <c r="A281" s="29"/>
      <c r="B281" s="23"/>
      <c r="C281" s="23"/>
      <c r="D281" s="24"/>
      <c r="E281" s="24"/>
      <c r="F281" s="43"/>
    </row>
    <row r="282" spans="1:6" x14ac:dyDescent="0.25">
      <c r="A282" s="29"/>
      <c r="B282" s="23"/>
      <c r="C282" s="23"/>
      <c r="D282" s="24"/>
      <c r="E282" s="24"/>
      <c r="F282" s="43"/>
    </row>
    <row r="283" spans="1:6" x14ac:dyDescent="0.25">
      <c r="A283" s="29"/>
      <c r="B283" s="23"/>
      <c r="C283" s="23"/>
      <c r="D283" s="24"/>
      <c r="E283" s="24"/>
      <c r="F283" s="43"/>
    </row>
    <row r="284" spans="1:6" x14ac:dyDescent="0.25">
      <c r="A284" s="29"/>
      <c r="B284" s="23"/>
      <c r="C284" s="23"/>
      <c r="D284" s="24"/>
      <c r="E284" s="24"/>
      <c r="F284" s="43"/>
    </row>
    <row r="285" spans="1:6" x14ac:dyDescent="0.25">
      <c r="A285" s="29"/>
      <c r="B285" s="23"/>
      <c r="C285" s="23"/>
      <c r="D285" s="24"/>
      <c r="E285" s="24"/>
      <c r="F285" s="43"/>
    </row>
    <row r="286" spans="1:6" x14ac:dyDescent="0.25">
      <c r="A286" s="29"/>
      <c r="B286" s="23"/>
      <c r="C286" s="23"/>
      <c r="D286" s="24"/>
      <c r="E286" s="24"/>
      <c r="F286" s="43"/>
    </row>
    <row r="287" spans="1:6" x14ac:dyDescent="0.25">
      <c r="A287" s="29"/>
      <c r="B287" s="23"/>
      <c r="C287" s="23"/>
      <c r="D287" s="24"/>
      <c r="E287" s="24"/>
      <c r="F287" s="43"/>
    </row>
    <row r="288" spans="1:6" x14ac:dyDescent="0.25">
      <c r="A288" s="29"/>
      <c r="B288" s="23"/>
      <c r="C288" s="23"/>
      <c r="D288" s="24"/>
      <c r="E288" s="24"/>
      <c r="F288" s="43"/>
    </row>
    <row r="289" spans="1:6" x14ac:dyDescent="0.25">
      <c r="A289" s="29"/>
      <c r="B289" s="23"/>
      <c r="C289" s="23"/>
      <c r="D289" s="24"/>
      <c r="E289" s="24"/>
      <c r="F289" s="43"/>
    </row>
    <row r="290" spans="1:6" x14ac:dyDescent="0.25">
      <c r="A290" s="29"/>
      <c r="B290" s="23"/>
      <c r="C290" s="23"/>
      <c r="D290" s="24"/>
      <c r="E290" s="24"/>
      <c r="F290" s="43"/>
    </row>
    <row r="291" spans="1:6" x14ac:dyDescent="0.25">
      <c r="A291" s="29"/>
      <c r="B291" s="23"/>
      <c r="C291" s="23"/>
      <c r="D291" s="24"/>
      <c r="E291" s="24"/>
      <c r="F291" s="43"/>
    </row>
    <row r="292" spans="1:6" x14ac:dyDescent="0.25">
      <c r="A292" s="29"/>
      <c r="B292" s="23"/>
      <c r="C292" s="23"/>
      <c r="D292" s="24"/>
      <c r="E292" s="24"/>
      <c r="F292" s="43"/>
    </row>
    <row r="293" spans="1:6" x14ac:dyDescent="0.25">
      <c r="A293" s="29"/>
      <c r="B293" s="23"/>
      <c r="C293" s="23"/>
      <c r="D293" s="24"/>
      <c r="E293" s="24"/>
      <c r="F293" s="43"/>
    </row>
    <row r="294" spans="1:6" x14ac:dyDescent="0.25">
      <c r="A294" s="29"/>
      <c r="B294" s="23"/>
      <c r="C294" s="23"/>
      <c r="D294" s="24"/>
      <c r="E294" s="24"/>
      <c r="F294" s="43"/>
    </row>
    <row r="295" spans="1:6" x14ac:dyDescent="0.25">
      <c r="A295" s="29"/>
      <c r="B295" s="23"/>
      <c r="C295" s="23"/>
      <c r="D295" s="24"/>
      <c r="E295" s="24"/>
      <c r="F295" s="43"/>
    </row>
    <row r="296" spans="1:6" x14ac:dyDescent="0.25">
      <c r="A296" s="29"/>
      <c r="B296" s="23"/>
      <c r="C296" s="23"/>
      <c r="D296" s="24"/>
      <c r="E296" s="24"/>
      <c r="F296" s="43"/>
    </row>
    <row r="297" spans="1:6" x14ac:dyDescent="0.25">
      <c r="A297" s="29"/>
      <c r="B297" s="23"/>
      <c r="C297" s="23"/>
      <c r="D297" s="24"/>
      <c r="E297" s="24"/>
      <c r="F297" s="43"/>
    </row>
    <row r="298" spans="1:6" x14ac:dyDescent="0.25">
      <c r="A298" s="29"/>
      <c r="B298" s="23"/>
      <c r="C298" s="23"/>
      <c r="D298" s="24"/>
      <c r="E298" s="24"/>
      <c r="F298" s="43"/>
    </row>
    <row r="299" spans="1:6" x14ac:dyDescent="0.25">
      <c r="A299" s="29"/>
      <c r="B299" s="23"/>
      <c r="C299" s="23"/>
      <c r="D299" s="24"/>
      <c r="E299" s="24"/>
      <c r="F299" s="43"/>
    </row>
    <row r="300" spans="1:6" x14ac:dyDescent="0.25">
      <c r="A300" s="29"/>
      <c r="B300" s="23"/>
      <c r="C300" s="23"/>
      <c r="D300" s="24"/>
      <c r="E300" s="24"/>
      <c r="F300" s="43"/>
    </row>
    <row r="301" spans="1:6" x14ac:dyDescent="0.25">
      <c r="A301" s="29"/>
      <c r="B301" s="23"/>
      <c r="C301" s="23"/>
      <c r="D301" s="24"/>
      <c r="E301" s="24"/>
      <c r="F301" s="43"/>
    </row>
    <row r="302" spans="1:6" x14ac:dyDescent="0.25">
      <c r="A302" s="29"/>
      <c r="B302" s="23"/>
      <c r="C302" s="23"/>
      <c r="D302" s="24"/>
      <c r="E302" s="24"/>
      <c r="F302" s="43"/>
    </row>
    <row r="303" spans="1:6" x14ac:dyDescent="0.25">
      <c r="A303" s="29"/>
      <c r="B303" s="23"/>
      <c r="C303" s="23"/>
      <c r="D303" s="24"/>
      <c r="E303" s="24"/>
      <c r="F303" s="43"/>
    </row>
    <row r="304" spans="1:6" x14ac:dyDescent="0.25">
      <c r="A304" s="29"/>
      <c r="B304" s="23"/>
      <c r="C304" s="23"/>
      <c r="D304" s="24"/>
      <c r="E304" s="24"/>
      <c r="F304" s="43"/>
    </row>
    <row r="305" spans="1:6" x14ac:dyDescent="0.25">
      <c r="A305" s="29"/>
      <c r="B305" s="23"/>
      <c r="C305" s="23"/>
      <c r="D305" s="24"/>
      <c r="E305" s="24"/>
      <c r="F305" s="43"/>
    </row>
    <row r="306" spans="1:6" x14ac:dyDescent="0.25">
      <c r="A306" s="29"/>
      <c r="B306" s="23"/>
      <c r="C306" s="23"/>
      <c r="D306" s="24"/>
      <c r="E306" s="24"/>
      <c r="F306" s="43"/>
    </row>
    <row r="307" spans="1:6" x14ac:dyDescent="0.25">
      <c r="A307" s="29"/>
      <c r="B307" s="23"/>
      <c r="C307" s="23"/>
      <c r="D307" s="24"/>
      <c r="E307" s="24"/>
      <c r="F307" s="43"/>
    </row>
    <row r="308" spans="1:6" x14ac:dyDescent="0.25">
      <c r="A308" s="29"/>
      <c r="B308" s="23"/>
      <c r="C308" s="23"/>
      <c r="D308" s="24"/>
      <c r="E308" s="24"/>
      <c r="F308" s="43"/>
    </row>
    <row r="309" spans="1:6" x14ac:dyDescent="0.25">
      <c r="A309" s="29"/>
      <c r="B309" s="23"/>
      <c r="C309" s="23"/>
      <c r="D309" s="24"/>
      <c r="E309" s="24"/>
      <c r="F309" s="43"/>
    </row>
    <row r="310" spans="1:6" x14ac:dyDescent="0.25">
      <c r="A310" s="29"/>
      <c r="B310" s="23"/>
      <c r="C310" s="23"/>
      <c r="D310" s="24"/>
      <c r="E310" s="24"/>
      <c r="F310" s="43"/>
    </row>
    <row r="311" spans="1:6" x14ac:dyDescent="0.25">
      <c r="A311" s="29"/>
      <c r="B311" s="23"/>
      <c r="C311" s="23"/>
      <c r="D311" s="24"/>
      <c r="E311" s="24"/>
      <c r="F311" s="43"/>
    </row>
    <row r="312" spans="1:6" x14ac:dyDescent="0.25">
      <c r="A312" s="29"/>
      <c r="B312" s="23"/>
      <c r="C312" s="23"/>
      <c r="D312" s="24"/>
      <c r="E312" s="24"/>
      <c r="F312" s="43"/>
    </row>
    <row r="313" spans="1:6" x14ac:dyDescent="0.25">
      <c r="A313" s="29"/>
      <c r="B313" s="23"/>
      <c r="C313" s="23"/>
      <c r="D313" s="24"/>
      <c r="E313" s="24"/>
      <c r="F313" s="43"/>
    </row>
    <row r="314" spans="1:6" x14ac:dyDescent="0.25">
      <c r="A314" s="29"/>
      <c r="B314" s="23"/>
      <c r="C314" s="23"/>
      <c r="D314" s="24"/>
      <c r="E314" s="24"/>
      <c r="F314" s="43"/>
    </row>
    <row r="315" spans="1:6" x14ac:dyDescent="0.25">
      <c r="A315" s="29"/>
      <c r="B315" s="23"/>
      <c r="C315" s="23"/>
      <c r="D315" s="24"/>
      <c r="E315" s="24"/>
      <c r="F315" s="43"/>
    </row>
    <row r="316" spans="1:6" x14ac:dyDescent="0.25">
      <c r="A316" s="29"/>
      <c r="B316" s="23"/>
      <c r="C316" s="23"/>
      <c r="D316" s="24"/>
      <c r="E316" s="24"/>
      <c r="F316" s="43"/>
    </row>
    <row r="317" spans="1:6" x14ac:dyDescent="0.25">
      <c r="A317" s="29"/>
      <c r="B317" s="23"/>
      <c r="C317" s="23"/>
      <c r="D317" s="24"/>
      <c r="E317" s="24"/>
      <c r="F317" s="43"/>
    </row>
    <row r="318" spans="1:6" x14ac:dyDescent="0.25">
      <c r="A318" s="29"/>
      <c r="B318" s="23"/>
      <c r="C318" s="23"/>
      <c r="D318" s="24"/>
      <c r="E318" s="24"/>
      <c r="F318" s="43"/>
    </row>
    <row r="319" spans="1:6" x14ac:dyDescent="0.25">
      <c r="A319" s="29"/>
      <c r="B319" s="23"/>
      <c r="C319" s="23"/>
      <c r="D319" s="24"/>
      <c r="E319" s="24"/>
      <c r="F319" s="43"/>
    </row>
    <row r="320" spans="1:6" x14ac:dyDescent="0.25">
      <c r="A320" s="29"/>
      <c r="B320" s="23"/>
      <c r="C320" s="23"/>
      <c r="D320" s="24"/>
      <c r="E320" s="24"/>
      <c r="F320" s="43"/>
    </row>
    <row r="321" spans="1:6" x14ac:dyDescent="0.25">
      <c r="A321" s="29"/>
      <c r="B321" s="23"/>
      <c r="C321" s="23"/>
      <c r="D321" s="24"/>
      <c r="E321" s="24"/>
      <c r="F321" s="43"/>
    </row>
    <row r="322" spans="1:6" x14ac:dyDescent="0.25">
      <c r="A322" s="29"/>
      <c r="B322" s="23"/>
      <c r="C322" s="23"/>
      <c r="D322" s="24"/>
      <c r="E322" s="24"/>
      <c r="F322" s="43"/>
    </row>
    <row r="323" spans="1:6" x14ac:dyDescent="0.25">
      <c r="A323" s="29"/>
      <c r="B323" s="23"/>
      <c r="C323" s="23"/>
      <c r="D323" s="24"/>
      <c r="E323" s="24"/>
      <c r="F323" s="43"/>
    </row>
    <row r="324" spans="1:6" x14ac:dyDescent="0.25">
      <c r="A324" s="29"/>
      <c r="B324" s="23"/>
      <c r="C324" s="23"/>
      <c r="D324" s="24"/>
      <c r="E324" s="24"/>
      <c r="F324" s="43"/>
    </row>
    <row r="325" spans="1:6" x14ac:dyDescent="0.25">
      <c r="A325" s="29"/>
      <c r="B325" s="23"/>
      <c r="C325" s="23"/>
      <c r="D325" s="24"/>
      <c r="E325" s="24"/>
      <c r="F325" s="43"/>
    </row>
    <row r="326" spans="1:6" x14ac:dyDescent="0.25">
      <c r="A326" s="29"/>
      <c r="B326" s="23"/>
      <c r="C326" s="23"/>
      <c r="D326" s="24"/>
      <c r="E326" s="24"/>
      <c r="F326" s="43"/>
    </row>
    <row r="327" spans="1:6" x14ac:dyDescent="0.25">
      <c r="A327" s="29"/>
      <c r="B327" s="23"/>
      <c r="C327" s="23"/>
      <c r="D327" s="24"/>
      <c r="E327" s="24"/>
      <c r="F327" s="43"/>
    </row>
    <row r="328" spans="1:6" x14ac:dyDescent="0.25">
      <c r="A328" s="29"/>
      <c r="B328" s="23"/>
      <c r="C328" s="23"/>
      <c r="D328" s="24"/>
      <c r="E328" s="24"/>
      <c r="F328" s="43"/>
    </row>
    <row r="329" spans="1:6" x14ac:dyDescent="0.25">
      <c r="A329" s="29"/>
      <c r="B329" s="23"/>
      <c r="C329" s="23"/>
      <c r="D329" s="24"/>
      <c r="E329" s="24"/>
      <c r="F329" s="43"/>
    </row>
    <row r="330" spans="1:6" x14ac:dyDescent="0.25">
      <c r="A330" s="29"/>
      <c r="B330" s="23"/>
      <c r="C330" s="23"/>
      <c r="D330" s="24"/>
      <c r="E330" s="24"/>
      <c r="F330" s="43"/>
    </row>
    <row r="331" spans="1:6" x14ac:dyDescent="0.25">
      <c r="A331" s="29"/>
      <c r="B331" s="23"/>
      <c r="C331" s="23"/>
      <c r="D331" s="24"/>
      <c r="E331" s="24"/>
      <c r="F331" s="43"/>
    </row>
    <row r="332" spans="1:6" x14ac:dyDescent="0.25">
      <c r="A332" s="29"/>
      <c r="B332" s="23"/>
      <c r="C332" s="23"/>
      <c r="D332" s="24"/>
      <c r="E332" s="24"/>
      <c r="F332" s="43"/>
    </row>
    <row r="333" spans="1:6" x14ac:dyDescent="0.25">
      <c r="A333" s="29"/>
      <c r="B333" s="23"/>
      <c r="C333" s="23"/>
      <c r="D333" s="24"/>
      <c r="E333" s="24"/>
      <c r="F333" s="43"/>
    </row>
    <row r="334" spans="1:6" x14ac:dyDescent="0.25">
      <c r="A334" s="29"/>
      <c r="B334" s="23"/>
      <c r="C334" s="23"/>
      <c r="D334" s="24"/>
      <c r="E334" s="24"/>
      <c r="F334" s="43"/>
    </row>
    <row r="335" spans="1:6" x14ac:dyDescent="0.25">
      <c r="A335" s="29"/>
      <c r="B335" s="23"/>
      <c r="C335" s="23"/>
      <c r="D335" s="24"/>
      <c r="E335" s="24"/>
      <c r="F335" s="43"/>
    </row>
    <row r="336" spans="1:6" x14ac:dyDescent="0.25">
      <c r="A336" s="29"/>
      <c r="B336" s="23"/>
      <c r="C336" s="23"/>
      <c r="D336" s="24"/>
      <c r="E336" s="24"/>
      <c r="F336" s="43"/>
    </row>
    <row r="337" spans="1:6" x14ac:dyDescent="0.25">
      <c r="A337" s="29"/>
      <c r="B337" s="23"/>
      <c r="C337" s="23"/>
      <c r="D337" s="24"/>
      <c r="E337" s="24"/>
      <c r="F337" s="43"/>
    </row>
    <row r="338" spans="1:6" x14ac:dyDescent="0.25">
      <c r="A338" s="29"/>
      <c r="B338" s="23"/>
      <c r="C338" s="23"/>
      <c r="D338" s="24"/>
      <c r="E338" s="24"/>
      <c r="F338" s="43"/>
    </row>
    <row r="339" spans="1:6" x14ac:dyDescent="0.25">
      <c r="A339" s="29"/>
      <c r="B339" s="23"/>
      <c r="C339" s="23"/>
      <c r="D339" s="24"/>
      <c r="E339" s="24"/>
      <c r="F339" s="43"/>
    </row>
    <row r="340" spans="1:6" x14ac:dyDescent="0.25">
      <c r="A340" s="29"/>
      <c r="B340" s="23"/>
      <c r="C340" s="23"/>
      <c r="D340" s="24"/>
      <c r="E340" s="24"/>
      <c r="F340" s="43"/>
    </row>
    <row r="341" spans="1:6" x14ac:dyDescent="0.25">
      <c r="A341" s="29"/>
      <c r="B341" s="23"/>
      <c r="C341" s="23"/>
      <c r="D341" s="24"/>
      <c r="E341" s="24"/>
      <c r="F341" s="43"/>
    </row>
    <row r="342" spans="1:6" x14ac:dyDescent="0.25">
      <c r="A342" s="29"/>
      <c r="B342" s="23"/>
      <c r="C342" s="23"/>
      <c r="D342" s="24"/>
      <c r="E342" s="24"/>
      <c r="F342" s="43"/>
    </row>
    <row r="343" spans="1:6" x14ac:dyDescent="0.25">
      <c r="A343" s="29"/>
      <c r="B343" s="23"/>
      <c r="C343" s="23"/>
      <c r="D343" s="24"/>
      <c r="E343" s="24"/>
      <c r="F343" s="43"/>
    </row>
    <row r="344" spans="1:6" x14ac:dyDescent="0.25">
      <c r="A344" s="29"/>
      <c r="B344" s="23"/>
      <c r="C344" s="23"/>
      <c r="D344" s="24"/>
      <c r="E344" s="24"/>
      <c r="F344" s="43"/>
    </row>
    <row r="345" spans="1:6" x14ac:dyDescent="0.25">
      <c r="A345" s="29"/>
      <c r="B345" s="23"/>
      <c r="C345" s="23"/>
      <c r="D345" s="24"/>
      <c r="E345" s="24"/>
      <c r="F345" s="43"/>
    </row>
    <row r="346" spans="1:6" x14ac:dyDescent="0.25">
      <c r="A346" s="29"/>
      <c r="B346" s="23"/>
      <c r="C346" s="23"/>
      <c r="D346" s="24"/>
      <c r="E346" s="24"/>
      <c r="F346" s="43"/>
    </row>
    <row r="347" spans="1:6" x14ac:dyDescent="0.25">
      <c r="A347" s="29"/>
      <c r="B347" s="23"/>
      <c r="C347" s="23"/>
      <c r="D347" s="24"/>
      <c r="E347" s="24"/>
      <c r="F347" s="43"/>
    </row>
    <row r="348" spans="1:6" x14ac:dyDescent="0.25">
      <c r="A348" s="29"/>
      <c r="B348" s="23"/>
      <c r="C348" s="23"/>
      <c r="D348" s="24"/>
      <c r="E348" s="24"/>
      <c r="F348" s="43"/>
    </row>
    <row r="349" spans="1:6" x14ac:dyDescent="0.25">
      <c r="A349" s="29"/>
      <c r="B349" s="23"/>
      <c r="C349" s="23"/>
      <c r="D349" s="24"/>
      <c r="E349" s="24"/>
      <c r="F349" s="43"/>
    </row>
    <row r="350" spans="1:6" x14ac:dyDescent="0.25">
      <c r="A350" s="29"/>
      <c r="B350" s="23"/>
      <c r="C350" s="23"/>
      <c r="D350" s="24"/>
      <c r="E350" s="24"/>
      <c r="F350" s="43"/>
    </row>
    <row r="351" spans="1:6" x14ac:dyDescent="0.25">
      <c r="A351" s="29"/>
      <c r="B351" s="23"/>
      <c r="C351" s="23"/>
      <c r="D351" s="24"/>
      <c r="E351" s="24"/>
      <c r="F351" s="43"/>
    </row>
    <row r="352" spans="1:6" x14ac:dyDescent="0.25">
      <c r="A352" s="29"/>
      <c r="B352" s="23"/>
      <c r="C352" s="23"/>
      <c r="D352" s="24"/>
      <c r="E352" s="24"/>
      <c r="F352" s="43"/>
    </row>
    <row r="353" spans="1:6" x14ac:dyDescent="0.25">
      <c r="A353" s="29"/>
      <c r="B353" s="23"/>
      <c r="C353" s="23"/>
      <c r="D353" s="24"/>
      <c r="E353" s="24"/>
      <c r="F353" s="43"/>
    </row>
    <row r="354" spans="1:6" x14ac:dyDescent="0.25">
      <c r="A354" s="29"/>
      <c r="B354" s="23"/>
      <c r="C354" s="23"/>
      <c r="D354" s="24"/>
      <c r="E354" s="24"/>
      <c r="F354" s="43"/>
    </row>
    <row r="355" spans="1:6" x14ac:dyDescent="0.25">
      <c r="A355" s="29"/>
      <c r="B355" s="23"/>
      <c r="C355" s="23"/>
      <c r="D355" s="24"/>
      <c r="E355" s="24"/>
      <c r="F355" s="43"/>
    </row>
    <row r="356" spans="1:6" x14ac:dyDescent="0.25">
      <c r="A356" s="29"/>
      <c r="B356" s="23"/>
      <c r="C356" s="23"/>
      <c r="D356" s="24"/>
      <c r="E356" s="24"/>
      <c r="F356" s="43"/>
    </row>
    <row r="357" spans="1:6" x14ac:dyDescent="0.25">
      <c r="A357" s="29"/>
      <c r="B357" s="23"/>
      <c r="C357" s="23"/>
      <c r="D357" s="24"/>
      <c r="E357" s="24"/>
      <c r="F357" s="43"/>
    </row>
    <row r="358" spans="1:6" x14ac:dyDescent="0.25">
      <c r="A358" s="29"/>
      <c r="B358" s="23"/>
      <c r="C358" s="23"/>
      <c r="D358" s="24"/>
      <c r="E358" s="24"/>
      <c r="F358" s="43"/>
    </row>
    <row r="359" spans="1:6" x14ac:dyDescent="0.25">
      <c r="A359" s="29"/>
      <c r="B359" s="23"/>
      <c r="C359" s="23"/>
      <c r="D359" s="24"/>
      <c r="E359" s="24"/>
      <c r="F359" s="43"/>
    </row>
    <row r="360" spans="1:6" x14ac:dyDescent="0.25">
      <c r="A360" s="29"/>
      <c r="B360" s="23"/>
      <c r="C360" s="23"/>
      <c r="D360" s="24"/>
      <c r="E360" s="24"/>
      <c r="F360" s="43"/>
    </row>
    <row r="361" spans="1:6" x14ac:dyDescent="0.25">
      <c r="A361" s="29"/>
      <c r="B361" s="23"/>
      <c r="C361" s="23"/>
      <c r="D361" s="24"/>
      <c r="E361" s="24"/>
      <c r="F361" s="43"/>
    </row>
    <row r="362" spans="1:6" x14ac:dyDescent="0.25">
      <c r="A362" s="29"/>
      <c r="B362" s="23"/>
      <c r="C362" s="23"/>
      <c r="D362" s="24"/>
      <c r="E362" s="24"/>
      <c r="F362" s="43"/>
    </row>
    <row r="363" spans="1:6" x14ac:dyDescent="0.25">
      <c r="A363" s="29"/>
      <c r="B363" s="23"/>
      <c r="C363" s="23"/>
      <c r="D363" s="24"/>
      <c r="E363" s="24"/>
      <c r="F363" s="43"/>
    </row>
    <row r="364" spans="1:6" x14ac:dyDescent="0.25">
      <c r="A364" s="29"/>
      <c r="B364" s="23"/>
      <c r="C364" s="23"/>
      <c r="D364" s="24"/>
      <c r="E364" s="24"/>
      <c r="F364" s="43"/>
    </row>
    <row r="365" spans="1:6" x14ac:dyDescent="0.25">
      <c r="A365" s="29"/>
      <c r="B365" s="23"/>
      <c r="C365" s="23"/>
      <c r="D365" s="24"/>
      <c r="E365" s="24"/>
      <c r="F365" s="43"/>
    </row>
    <row r="366" spans="1:6" x14ac:dyDescent="0.25">
      <c r="A366" s="29"/>
      <c r="B366" s="23"/>
      <c r="C366" s="23"/>
      <c r="D366" s="24"/>
      <c r="E366" s="24"/>
      <c r="F366" s="43"/>
    </row>
    <row r="367" spans="1:6" x14ac:dyDescent="0.25">
      <c r="A367" s="29"/>
      <c r="B367" s="23"/>
      <c r="C367" s="23"/>
      <c r="D367" s="24"/>
      <c r="E367" s="24"/>
      <c r="F367" s="43"/>
    </row>
    <row r="368" spans="1:6" x14ac:dyDescent="0.25">
      <c r="A368" s="29"/>
      <c r="B368" s="23"/>
      <c r="C368" s="23"/>
      <c r="D368" s="24"/>
      <c r="E368" s="24"/>
      <c r="F368" s="43"/>
    </row>
    <row r="369" spans="1:6" x14ac:dyDescent="0.25">
      <c r="A369" s="29"/>
      <c r="B369" s="23"/>
      <c r="C369" s="23"/>
      <c r="D369" s="24"/>
      <c r="E369" s="24"/>
      <c r="F369" s="43"/>
    </row>
    <row r="370" spans="1:6" x14ac:dyDescent="0.25">
      <c r="A370" s="29"/>
      <c r="B370" s="23"/>
      <c r="C370" s="23"/>
      <c r="D370" s="24"/>
      <c r="E370" s="24"/>
      <c r="F370" s="43"/>
    </row>
    <row r="371" spans="1:6" x14ac:dyDescent="0.25">
      <c r="A371" s="29"/>
      <c r="B371" s="23"/>
      <c r="C371" s="23"/>
      <c r="D371" s="24"/>
      <c r="E371" s="24"/>
      <c r="F371" s="43"/>
    </row>
    <row r="372" spans="1:6" x14ac:dyDescent="0.25">
      <c r="A372" s="29"/>
      <c r="B372" s="23"/>
      <c r="C372" s="23"/>
      <c r="D372" s="24"/>
      <c r="E372" s="24"/>
      <c r="F372" s="43"/>
    </row>
    <row r="373" spans="1:6" x14ac:dyDescent="0.25">
      <c r="A373" s="29"/>
      <c r="B373" s="23"/>
      <c r="C373" s="23"/>
      <c r="D373" s="24"/>
      <c r="E373" s="24"/>
      <c r="F373" s="43"/>
    </row>
    <row r="374" spans="1:6" x14ac:dyDescent="0.25">
      <c r="A374" s="29"/>
      <c r="B374" s="23"/>
      <c r="C374" s="23"/>
      <c r="D374" s="24"/>
      <c r="E374" s="24"/>
      <c r="F374" s="43"/>
    </row>
    <row r="375" spans="1:6" x14ac:dyDescent="0.25">
      <c r="A375" s="29"/>
      <c r="B375" s="23"/>
      <c r="C375" s="23"/>
      <c r="D375" s="24"/>
      <c r="E375" s="24"/>
      <c r="F375" s="43"/>
    </row>
    <row r="376" spans="1:6" x14ac:dyDescent="0.25">
      <c r="A376" s="29"/>
      <c r="B376" s="23"/>
      <c r="C376" s="23"/>
      <c r="D376" s="24"/>
      <c r="E376" s="24"/>
      <c r="F376" s="43"/>
    </row>
    <row r="377" spans="1:6" x14ac:dyDescent="0.25">
      <c r="A377" s="29"/>
      <c r="B377" s="23"/>
      <c r="C377" s="23"/>
      <c r="D377" s="24"/>
      <c r="E377" s="24"/>
      <c r="F377" s="43"/>
    </row>
    <row r="378" spans="1:6" x14ac:dyDescent="0.25">
      <c r="A378" s="29"/>
      <c r="B378" s="23"/>
      <c r="C378" s="23"/>
      <c r="D378" s="24"/>
      <c r="E378" s="24"/>
      <c r="F378" s="43"/>
    </row>
    <row r="379" spans="1:6" x14ac:dyDescent="0.25">
      <c r="A379" s="29"/>
      <c r="B379" s="23"/>
      <c r="C379" s="23"/>
      <c r="D379" s="24"/>
      <c r="E379" s="24"/>
      <c r="F379" s="43"/>
    </row>
    <row r="380" spans="1:6" x14ac:dyDescent="0.25">
      <c r="A380" s="29"/>
      <c r="B380" s="23"/>
      <c r="C380" s="23"/>
      <c r="D380" s="24"/>
      <c r="E380" s="24"/>
      <c r="F380" s="43"/>
    </row>
    <row r="381" spans="1:6" x14ac:dyDescent="0.25">
      <c r="A381" s="29"/>
      <c r="B381" s="23"/>
      <c r="C381" s="23"/>
      <c r="D381" s="24"/>
      <c r="E381" s="24"/>
      <c r="F381" s="43"/>
    </row>
    <row r="382" spans="1:6" x14ac:dyDescent="0.25">
      <c r="A382" s="29"/>
      <c r="B382" s="23"/>
      <c r="C382" s="23"/>
      <c r="D382" s="24"/>
      <c r="E382" s="24"/>
      <c r="F382" s="43"/>
    </row>
    <row r="383" spans="1:6" x14ac:dyDescent="0.25">
      <c r="A383" s="29"/>
      <c r="B383" s="23"/>
      <c r="C383" s="23"/>
      <c r="D383" s="24"/>
      <c r="E383" s="24"/>
      <c r="F383" s="43"/>
    </row>
    <row r="384" spans="1:6" x14ac:dyDescent="0.25">
      <c r="A384" s="29"/>
      <c r="B384" s="23"/>
      <c r="C384" s="23"/>
      <c r="D384" s="24"/>
      <c r="E384" s="24"/>
      <c r="F384" s="43"/>
    </row>
    <row r="385" spans="1:6" x14ac:dyDescent="0.25">
      <c r="A385" s="29"/>
      <c r="B385" s="23"/>
      <c r="C385" s="23"/>
      <c r="D385" s="24"/>
      <c r="E385" s="24"/>
      <c r="F385" s="43"/>
    </row>
    <row r="386" spans="1:6" x14ac:dyDescent="0.25">
      <c r="A386" s="29"/>
      <c r="B386" s="23"/>
      <c r="C386" s="23"/>
      <c r="D386" s="24"/>
      <c r="E386" s="24"/>
      <c r="F386" s="43"/>
    </row>
    <row r="387" spans="1:6" x14ac:dyDescent="0.25">
      <c r="A387" s="29"/>
      <c r="B387" s="23"/>
      <c r="C387" s="23"/>
      <c r="D387" s="24"/>
      <c r="E387" s="24"/>
      <c r="F387" s="43"/>
    </row>
    <row r="388" spans="1:6" x14ac:dyDescent="0.25">
      <c r="A388" s="29"/>
      <c r="B388" s="23"/>
      <c r="C388" s="23"/>
      <c r="D388" s="24"/>
      <c r="E388" s="24"/>
      <c r="F388" s="43"/>
    </row>
    <row r="389" spans="1:6" x14ac:dyDescent="0.25">
      <c r="A389" s="29"/>
      <c r="B389" s="23"/>
      <c r="C389" s="23"/>
      <c r="D389" s="24"/>
      <c r="E389" s="24"/>
      <c r="F389" s="43"/>
    </row>
    <row r="390" spans="1:6" x14ac:dyDescent="0.25">
      <c r="A390" s="29"/>
      <c r="B390" s="23"/>
      <c r="C390" s="23"/>
      <c r="D390" s="24"/>
      <c r="E390" s="24"/>
      <c r="F390" s="43"/>
    </row>
    <row r="391" spans="1:6" x14ac:dyDescent="0.25">
      <c r="A391" s="29"/>
      <c r="B391" s="23"/>
      <c r="C391" s="23"/>
      <c r="D391" s="24"/>
      <c r="E391" s="24"/>
      <c r="F391" s="43"/>
    </row>
    <row r="392" spans="1:6" x14ac:dyDescent="0.25">
      <c r="A392" s="29"/>
      <c r="B392" s="23"/>
      <c r="C392" s="23"/>
      <c r="D392" s="24"/>
      <c r="E392" s="24"/>
      <c r="F392" s="43"/>
    </row>
    <row r="393" spans="1:6" x14ac:dyDescent="0.25">
      <c r="A393" s="29"/>
      <c r="B393" s="23"/>
      <c r="C393" s="23"/>
      <c r="D393" s="24"/>
      <c r="E393" s="24"/>
      <c r="F393" s="43"/>
    </row>
    <row r="394" spans="1:6" x14ac:dyDescent="0.25">
      <c r="A394" s="29"/>
      <c r="B394" s="23"/>
      <c r="C394" s="23"/>
      <c r="D394" s="24"/>
      <c r="E394" s="24"/>
      <c r="F394" s="43"/>
    </row>
    <row r="395" spans="1:6" x14ac:dyDescent="0.25">
      <c r="A395" s="29"/>
      <c r="B395" s="23"/>
      <c r="C395" s="23"/>
      <c r="D395" s="24"/>
      <c r="E395" s="24"/>
      <c r="F395" s="43"/>
    </row>
    <row r="396" spans="1:6" x14ac:dyDescent="0.25">
      <c r="A396" s="29"/>
      <c r="B396" s="23"/>
      <c r="C396" s="23"/>
      <c r="D396" s="24"/>
      <c r="E396" s="24"/>
      <c r="F396" s="43"/>
    </row>
    <row r="397" spans="1:6" x14ac:dyDescent="0.25">
      <c r="A397" s="29"/>
      <c r="B397" s="23"/>
      <c r="C397" s="23"/>
      <c r="D397" s="24"/>
      <c r="E397" s="24"/>
      <c r="F397" s="43"/>
    </row>
    <row r="398" spans="1:6" x14ac:dyDescent="0.25">
      <c r="A398" s="29"/>
      <c r="B398" s="23"/>
      <c r="C398" s="23"/>
      <c r="D398" s="24"/>
      <c r="E398" s="24"/>
      <c r="F398" s="43"/>
    </row>
    <row r="399" spans="1:6" x14ac:dyDescent="0.25">
      <c r="A399" s="29"/>
      <c r="B399" s="23"/>
      <c r="C399" s="23"/>
      <c r="D399" s="24"/>
      <c r="E399" s="24"/>
      <c r="F399" s="43"/>
    </row>
    <row r="400" spans="1:6" x14ac:dyDescent="0.25">
      <c r="A400" s="29"/>
      <c r="B400" s="23"/>
      <c r="C400" s="23"/>
      <c r="D400" s="24"/>
      <c r="E400" s="24"/>
      <c r="F400" s="43"/>
    </row>
    <row r="401" spans="1:6" x14ac:dyDescent="0.25">
      <c r="A401" s="29"/>
      <c r="B401" s="23"/>
      <c r="C401" s="23"/>
      <c r="D401" s="24"/>
      <c r="E401" s="24"/>
      <c r="F401" s="43"/>
    </row>
    <row r="402" spans="1:6" x14ac:dyDescent="0.25">
      <c r="A402" s="29"/>
      <c r="B402" s="23"/>
      <c r="C402" s="23"/>
      <c r="D402" s="24"/>
      <c r="E402" s="24"/>
      <c r="F402" s="43"/>
    </row>
    <row r="403" spans="1:6" x14ac:dyDescent="0.25">
      <c r="A403" s="29"/>
      <c r="B403" s="23"/>
      <c r="C403" s="23"/>
      <c r="D403" s="24"/>
      <c r="E403" s="24"/>
      <c r="F403" s="43"/>
    </row>
    <row r="404" spans="1:6" x14ac:dyDescent="0.25">
      <c r="A404" s="29"/>
      <c r="B404" s="23"/>
      <c r="C404" s="23"/>
      <c r="D404" s="24"/>
      <c r="E404" s="24"/>
      <c r="F404" s="43"/>
    </row>
    <row r="405" spans="1:6" x14ac:dyDescent="0.25">
      <c r="A405" s="29"/>
      <c r="B405" s="23"/>
      <c r="C405" s="23"/>
      <c r="D405" s="24"/>
      <c r="E405" s="24"/>
      <c r="F405" s="43"/>
    </row>
    <row r="406" spans="1:6" x14ac:dyDescent="0.25">
      <c r="A406" s="29"/>
      <c r="B406" s="23"/>
      <c r="C406" s="23"/>
      <c r="D406" s="24"/>
      <c r="E406" s="24"/>
      <c r="F406" s="43"/>
    </row>
    <row r="407" spans="1:6" x14ac:dyDescent="0.25">
      <c r="A407" s="29"/>
      <c r="B407" s="23"/>
      <c r="C407" s="23"/>
      <c r="D407" s="24"/>
      <c r="E407" s="24"/>
      <c r="F407" s="43"/>
    </row>
    <row r="408" spans="1:6" x14ac:dyDescent="0.25">
      <c r="A408" s="29"/>
      <c r="B408" s="23"/>
      <c r="C408" s="23"/>
      <c r="D408" s="24"/>
      <c r="E408" s="24"/>
      <c r="F408" s="43"/>
    </row>
    <row r="409" spans="1:6" x14ac:dyDescent="0.25">
      <c r="A409" s="29"/>
      <c r="B409" s="23"/>
      <c r="C409" s="23"/>
      <c r="D409" s="24"/>
      <c r="E409" s="24"/>
      <c r="F409" s="43"/>
    </row>
    <row r="410" spans="1:6" x14ac:dyDescent="0.25">
      <c r="A410" s="29"/>
      <c r="B410" s="23"/>
      <c r="C410" s="23"/>
      <c r="D410" s="24"/>
      <c r="E410" s="24"/>
      <c r="F410" s="43"/>
    </row>
    <row r="411" spans="1:6" x14ac:dyDescent="0.25">
      <c r="A411" s="29"/>
      <c r="B411" s="23"/>
      <c r="C411" s="23"/>
      <c r="D411" s="24"/>
      <c r="E411" s="24"/>
      <c r="F411" s="43"/>
    </row>
    <row r="412" spans="1:6" x14ac:dyDescent="0.25">
      <c r="A412" s="29"/>
      <c r="B412" s="23"/>
      <c r="C412" s="23"/>
      <c r="D412" s="24"/>
      <c r="E412" s="24"/>
      <c r="F412" s="43"/>
    </row>
    <row r="413" spans="1:6" x14ac:dyDescent="0.25">
      <c r="A413" s="29"/>
      <c r="B413" s="23"/>
      <c r="C413" s="23"/>
      <c r="D413" s="24"/>
      <c r="E413" s="24"/>
      <c r="F413" s="43"/>
    </row>
    <row r="414" spans="1:6" x14ac:dyDescent="0.25">
      <c r="A414" s="29"/>
      <c r="B414" s="23"/>
      <c r="C414" s="23"/>
      <c r="D414" s="24"/>
      <c r="E414" s="24"/>
      <c r="F414" s="43"/>
    </row>
    <row r="415" spans="1:6" x14ac:dyDescent="0.25">
      <c r="A415" s="29"/>
      <c r="B415" s="23"/>
      <c r="C415" s="23"/>
      <c r="D415" s="24"/>
      <c r="E415" s="24"/>
      <c r="F415" s="43"/>
    </row>
    <row r="416" spans="1:6" x14ac:dyDescent="0.25">
      <c r="A416" s="29"/>
      <c r="B416" s="23"/>
      <c r="C416" s="23"/>
      <c r="D416" s="24"/>
      <c r="E416" s="24"/>
      <c r="F416" s="43"/>
    </row>
    <row r="417" spans="1:6" x14ac:dyDescent="0.25">
      <c r="A417" s="29"/>
      <c r="B417" s="23"/>
      <c r="C417" s="23"/>
      <c r="D417" s="24"/>
      <c r="E417" s="24"/>
      <c r="F417" s="43"/>
    </row>
    <row r="418" spans="1:6" x14ac:dyDescent="0.25">
      <c r="A418" s="29"/>
      <c r="B418" s="23"/>
      <c r="C418" s="23"/>
      <c r="D418" s="24"/>
      <c r="E418" s="24"/>
      <c r="F418" s="43"/>
    </row>
    <row r="419" spans="1:6" x14ac:dyDescent="0.25">
      <c r="A419" s="29"/>
      <c r="B419" s="23"/>
      <c r="C419" s="23"/>
      <c r="D419" s="24"/>
      <c r="E419" s="24"/>
      <c r="F419" s="43"/>
    </row>
    <row r="420" spans="1:6" x14ac:dyDescent="0.25">
      <c r="A420" s="29"/>
      <c r="B420" s="23"/>
      <c r="C420" s="23"/>
      <c r="D420" s="24"/>
      <c r="E420" s="24"/>
      <c r="F420" s="43"/>
    </row>
    <row r="421" spans="1:6" x14ac:dyDescent="0.25">
      <c r="A421" s="29"/>
      <c r="B421" s="23"/>
      <c r="C421" s="23"/>
      <c r="D421" s="24"/>
      <c r="E421" s="24"/>
      <c r="F421" s="43"/>
    </row>
    <row r="422" spans="1:6" x14ac:dyDescent="0.25">
      <c r="A422" s="29"/>
      <c r="B422" s="23"/>
      <c r="C422" s="23"/>
      <c r="D422" s="24"/>
      <c r="E422" s="24"/>
      <c r="F422" s="43"/>
    </row>
    <row r="423" spans="1:6" x14ac:dyDescent="0.25">
      <c r="A423" s="29"/>
      <c r="B423" s="23"/>
      <c r="C423" s="23"/>
      <c r="D423" s="24"/>
      <c r="E423" s="24"/>
      <c r="F423" s="43"/>
    </row>
    <row r="424" spans="1:6" x14ac:dyDescent="0.25">
      <c r="A424" s="29"/>
      <c r="B424" s="23"/>
      <c r="C424" s="23"/>
      <c r="D424" s="24"/>
      <c r="E424" s="24"/>
      <c r="F424" s="43"/>
    </row>
    <row r="425" spans="1:6" x14ac:dyDescent="0.25">
      <c r="A425" s="29"/>
      <c r="B425" s="23"/>
      <c r="C425" s="23"/>
      <c r="D425" s="24"/>
      <c r="E425" s="24"/>
      <c r="F425" s="43"/>
    </row>
    <row r="426" spans="1:6" x14ac:dyDescent="0.25">
      <c r="A426" s="29"/>
      <c r="B426" s="23"/>
      <c r="C426" s="23"/>
      <c r="D426" s="24"/>
      <c r="E426" s="24"/>
      <c r="F426" s="43"/>
    </row>
    <row r="427" spans="1:6" x14ac:dyDescent="0.25">
      <c r="A427" s="29"/>
      <c r="B427" s="23"/>
      <c r="C427" s="23"/>
      <c r="D427" s="24"/>
      <c r="E427" s="24"/>
      <c r="F427" s="43"/>
    </row>
    <row r="428" spans="1:6" x14ac:dyDescent="0.25">
      <c r="A428" s="29"/>
      <c r="B428" s="23"/>
      <c r="C428" s="23"/>
      <c r="D428" s="24"/>
      <c r="E428" s="24"/>
      <c r="F428" s="43"/>
    </row>
    <row r="429" spans="1:6" x14ac:dyDescent="0.25">
      <c r="A429" s="29"/>
      <c r="B429" s="23"/>
      <c r="C429" s="23"/>
      <c r="D429" s="24"/>
      <c r="E429" s="24"/>
      <c r="F429" s="43"/>
    </row>
    <row r="430" spans="1:6" x14ac:dyDescent="0.25">
      <c r="A430" s="29"/>
      <c r="B430" s="23"/>
      <c r="C430" s="23"/>
      <c r="D430" s="24"/>
      <c r="E430" s="24"/>
      <c r="F430" s="43"/>
    </row>
    <row r="431" spans="1:6" x14ac:dyDescent="0.25">
      <c r="A431" s="29"/>
      <c r="B431" s="23"/>
      <c r="C431" s="23"/>
      <c r="D431" s="24"/>
      <c r="E431" s="24"/>
      <c r="F431" s="43"/>
    </row>
    <row r="432" spans="1:6" x14ac:dyDescent="0.25">
      <c r="A432" s="29"/>
      <c r="B432" s="23"/>
      <c r="C432" s="23"/>
      <c r="D432" s="24"/>
      <c r="E432" s="24"/>
      <c r="F432" s="43"/>
    </row>
    <row r="433" spans="1:6" x14ac:dyDescent="0.25">
      <c r="A433" s="29"/>
      <c r="B433" s="23"/>
      <c r="C433" s="23"/>
      <c r="D433" s="24"/>
      <c r="E433" s="24"/>
      <c r="F433" s="43"/>
    </row>
    <row r="434" spans="1:6" x14ac:dyDescent="0.25">
      <c r="A434" s="29"/>
      <c r="B434" s="23"/>
      <c r="C434" s="23"/>
      <c r="D434" s="24"/>
      <c r="E434" s="24"/>
      <c r="F434" s="43"/>
    </row>
    <row r="435" spans="1:6" x14ac:dyDescent="0.25">
      <c r="A435" s="29"/>
      <c r="B435" s="23"/>
      <c r="C435" s="23"/>
      <c r="D435" s="24"/>
      <c r="E435" s="24"/>
      <c r="F435" s="43"/>
    </row>
    <row r="436" spans="1:6" x14ac:dyDescent="0.25">
      <c r="A436" s="29"/>
      <c r="B436" s="23"/>
      <c r="C436" s="23"/>
      <c r="D436" s="24"/>
      <c r="E436" s="24"/>
      <c r="F436" s="43"/>
    </row>
    <row r="437" spans="1:6" x14ac:dyDescent="0.25">
      <c r="A437" s="29"/>
      <c r="B437" s="23"/>
      <c r="C437" s="23"/>
      <c r="D437" s="24"/>
      <c r="E437" s="24"/>
      <c r="F437" s="43"/>
    </row>
    <row r="438" spans="1:6" x14ac:dyDescent="0.25">
      <c r="A438" s="29"/>
      <c r="B438" s="23"/>
      <c r="C438" s="23"/>
      <c r="D438" s="24"/>
      <c r="E438" s="24"/>
      <c r="F438" s="43"/>
    </row>
    <row r="439" spans="1:6" x14ac:dyDescent="0.25">
      <c r="A439" s="29"/>
      <c r="B439" s="23"/>
      <c r="C439" s="23"/>
      <c r="D439" s="24"/>
      <c r="E439" s="24"/>
      <c r="F439" s="43"/>
    </row>
    <row r="440" spans="1:6" x14ac:dyDescent="0.25">
      <c r="A440" s="29"/>
      <c r="B440" s="23"/>
      <c r="C440" s="23"/>
      <c r="D440" s="24"/>
      <c r="E440" s="24"/>
      <c r="F440" s="43"/>
    </row>
    <row r="441" spans="1:6" x14ac:dyDescent="0.25">
      <c r="A441" s="29"/>
      <c r="B441" s="23"/>
      <c r="C441" s="23"/>
      <c r="D441" s="24"/>
      <c r="E441" s="24"/>
      <c r="F441" s="43"/>
    </row>
    <row r="442" spans="1:6" x14ac:dyDescent="0.25">
      <c r="A442" s="29"/>
      <c r="B442" s="23"/>
      <c r="C442" s="23"/>
      <c r="D442" s="24"/>
      <c r="E442" s="24"/>
      <c r="F442" s="43"/>
    </row>
    <row r="443" spans="1:6" x14ac:dyDescent="0.25">
      <c r="A443" s="29"/>
      <c r="B443" s="23"/>
      <c r="C443" s="23"/>
      <c r="D443" s="24"/>
      <c r="E443" s="24"/>
      <c r="F443" s="43"/>
    </row>
    <row r="444" spans="1:6" x14ac:dyDescent="0.25">
      <c r="A444" s="29"/>
      <c r="B444" s="23"/>
      <c r="C444" s="23"/>
      <c r="D444" s="24"/>
      <c r="E444" s="24"/>
      <c r="F444" s="43"/>
    </row>
    <row r="445" spans="1:6" x14ac:dyDescent="0.25">
      <c r="A445" s="29"/>
      <c r="B445" s="23"/>
      <c r="C445" s="23"/>
      <c r="D445" s="24"/>
      <c r="E445" s="24"/>
      <c r="F445" s="43"/>
    </row>
    <row r="446" spans="1:6" x14ac:dyDescent="0.25">
      <c r="A446" s="29"/>
      <c r="B446" s="23"/>
      <c r="C446" s="23"/>
      <c r="D446" s="24"/>
      <c r="E446" s="24"/>
      <c r="F446" s="43"/>
    </row>
    <row r="447" spans="1:6" x14ac:dyDescent="0.25">
      <c r="A447" s="29"/>
      <c r="B447" s="23"/>
      <c r="C447" s="23"/>
      <c r="D447" s="24"/>
      <c r="E447" s="24"/>
      <c r="F447" s="43"/>
    </row>
    <row r="448" spans="1:6" x14ac:dyDescent="0.25">
      <c r="A448" s="29"/>
      <c r="B448" s="23"/>
      <c r="C448" s="23"/>
      <c r="D448" s="24"/>
      <c r="E448" s="24"/>
      <c r="F448" s="43"/>
    </row>
    <row r="449" spans="1:6" x14ac:dyDescent="0.25">
      <c r="A449" s="29"/>
      <c r="B449" s="23"/>
      <c r="C449" s="23"/>
      <c r="D449" s="24"/>
      <c r="E449" s="24"/>
      <c r="F449" s="43"/>
    </row>
    <row r="450" spans="1:6" x14ac:dyDescent="0.25">
      <c r="A450" s="29"/>
      <c r="B450" s="23"/>
      <c r="C450" s="23"/>
      <c r="D450" s="24"/>
      <c r="E450" s="24"/>
      <c r="F450" s="43"/>
    </row>
    <row r="451" spans="1:6" x14ac:dyDescent="0.25">
      <c r="A451" s="29"/>
      <c r="B451" s="23"/>
      <c r="C451" s="23"/>
      <c r="D451" s="24"/>
      <c r="E451" s="24"/>
      <c r="F451" s="43"/>
    </row>
    <row r="452" spans="1:6" x14ac:dyDescent="0.25">
      <c r="A452" s="29"/>
      <c r="B452" s="23"/>
      <c r="C452" s="23"/>
      <c r="D452" s="24"/>
      <c r="E452" s="24"/>
      <c r="F452" s="43"/>
    </row>
    <row r="453" spans="1:6" x14ac:dyDescent="0.25">
      <c r="A453" s="29"/>
      <c r="B453" s="23"/>
      <c r="C453" s="23"/>
      <c r="D453" s="24"/>
      <c r="E453" s="24"/>
      <c r="F453" s="43"/>
    </row>
    <row r="454" spans="1:6" x14ac:dyDescent="0.25">
      <c r="A454" s="29"/>
      <c r="B454" s="23"/>
      <c r="C454" s="23"/>
      <c r="D454" s="24"/>
      <c r="E454" s="24"/>
      <c r="F454" s="43"/>
    </row>
    <row r="455" spans="1:6" x14ac:dyDescent="0.25">
      <c r="A455" s="29"/>
      <c r="B455" s="23"/>
      <c r="C455" s="23"/>
      <c r="D455" s="24"/>
      <c r="E455" s="24"/>
      <c r="F455" s="43"/>
    </row>
    <row r="456" spans="1:6" x14ac:dyDescent="0.25">
      <c r="A456" s="29"/>
      <c r="B456" s="23"/>
      <c r="C456" s="23"/>
      <c r="D456" s="24"/>
      <c r="E456" s="24"/>
      <c r="F456" s="43"/>
    </row>
    <row r="457" spans="1:6" x14ac:dyDescent="0.25">
      <c r="A457" s="29"/>
      <c r="B457" s="23"/>
      <c r="C457" s="23"/>
      <c r="D457" s="24"/>
      <c r="E457" s="24"/>
      <c r="F457" s="43"/>
    </row>
    <row r="458" spans="1:6" x14ac:dyDescent="0.25">
      <c r="A458" s="29"/>
      <c r="B458" s="23"/>
      <c r="C458" s="23"/>
      <c r="D458" s="24"/>
      <c r="E458" s="24"/>
      <c r="F458" s="43"/>
    </row>
    <row r="459" spans="1:6" x14ac:dyDescent="0.25">
      <c r="A459" s="29"/>
      <c r="B459" s="23"/>
      <c r="C459" s="23"/>
      <c r="D459" s="24"/>
      <c r="E459" s="24"/>
      <c r="F459" s="43"/>
    </row>
    <row r="460" spans="1:6" x14ac:dyDescent="0.25">
      <c r="A460" s="29"/>
      <c r="B460" s="23"/>
      <c r="C460" s="23"/>
      <c r="D460" s="24"/>
      <c r="E460" s="24"/>
      <c r="F460" s="43"/>
    </row>
    <row r="461" spans="1:6" x14ac:dyDescent="0.25">
      <c r="A461" s="29"/>
      <c r="B461" s="23"/>
      <c r="C461" s="23"/>
      <c r="D461" s="24"/>
      <c r="E461" s="24"/>
      <c r="F461" s="43"/>
    </row>
    <row r="462" spans="1:6" x14ac:dyDescent="0.25">
      <c r="A462" s="29"/>
      <c r="B462" s="23"/>
      <c r="C462" s="23"/>
      <c r="D462" s="24"/>
      <c r="E462" s="24"/>
      <c r="F462" s="43"/>
    </row>
    <row r="463" spans="1:6" x14ac:dyDescent="0.25">
      <c r="A463" s="29"/>
      <c r="B463" s="23"/>
      <c r="C463" s="23"/>
      <c r="D463" s="24"/>
      <c r="E463" s="24"/>
      <c r="F463" s="43"/>
    </row>
    <row r="464" spans="1:6" x14ac:dyDescent="0.25">
      <c r="A464" s="29"/>
      <c r="B464" s="23"/>
      <c r="C464" s="23"/>
      <c r="D464" s="24"/>
      <c r="E464" s="24"/>
      <c r="F464" s="43"/>
    </row>
    <row r="465" spans="1:6" x14ac:dyDescent="0.25">
      <c r="A465" s="29"/>
      <c r="B465" s="23"/>
      <c r="C465" s="23"/>
      <c r="D465" s="24"/>
      <c r="E465" s="24"/>
      <c r="F465" s="43"/>
    </row>
    <row r="466" spans="1:6" x14ac:dyDescent="0.25">
      <c r="A466" s="29"/>
      <c r="B466" s="23"/>
      <c r="C466" s="23"/>
      <c r="D466" s="24"/>
      <c r="E466" s="24"/>
      <c r="F466" s="43"/>
    </row>
    <row r="467" spans="1:6" x14ac:dyDescent="0.25">
      <c r="A467" s="29"/>
      <c r="B467" s="23"/>
      <c r="C467" s="23"/>
      <c r="D467" s="24"/>
      <c r="E467" s="24"/>
      <c r="F467" s="43"/>
    </row>
    <row r="468" spans="1:6" x14ac:dyDescent="0.25">
      <c r="A468" s="29"/>
      <c r="B468" s="23"/>
      <c r="C468" s="23"/>
      <c r="D468" s="24"/>
      <c r="E468" s="24"/>
      <c r="F468" s="43"/>
    </row>
    <row r="469" spans="1:6" x14ac:dyDescent="0.25">
      <c r="A469" s="29"/>
      <c r="B469" s="23"/>
      <c r="C469" s="23"/>
      <c r="D469" s="24"/>
      <c r="E469" s="24"/>
      <c r="F469" s="43"/>
    </row>
    <row r="470" spans="1:6" x14ac:dyDescent="0.25">
      <c r="A470" s="29"/>
      <c r="B470" s="23"/>
      <c r="C470" s="23"/>
      <c r="D470" s="24"/>
      <c r="E470" s="24"/>
      <c r="F470" s="43"/>
    </row>
    <row r="471" spans="1:6" x14ac:dyDescent="0.25">
      <c r="A471" s="29"/>
      <c r="B471" s="23"/>
      <c r="C471" s="23"/>
      <c r="D471" s="24"/>
      <c r="E471" s="24"/>
      <c r="F471" s="43"/>
    </row>
    <row r="472" spans="1:6" x14ac:dyDescent="0.25">
      <c r="A472" s="29"/>
      <c r="B472" s="23"/>
      <c r="C472" s="23"/>
      <c r="D472" s="24"/>
      <c r="E472" s="24"/>
      <c r="F472" s="43"/>
    </row>
    <row r="473" spans="1:6" x14ac:dyDescent="0.25">
      <c r="A473" s="29"/>
      <c r="B473" s="23"/>
      <c r="C473" s="23"/>
      <c r="D473" s="24"/>
      <c r="E473" s="24"/>
      <c r="F473" s="43"/>
    </row>
    <row r="474" spans="1:6" x14ac:dyDescent="0.25">
      <c r="A474" s="29"/>
      <c r="B474" s="23"/>
      <c r="C474" s="23"/>
      <c r="D474" s="24"/>
      <c r="E474" s="24"/>
      <c r="F474" s="43"/>
    </row>
    <row r="475" spans="1:6" x14ac:dyDescent="0.25">
      <c r="A475" s="29"/>
      <c r="B475" s="23"/>
      <c r="C475" s="23"/>
      <c r="D475" s="24"/>
      <c r="E475" s="24"/>
      <c r="F475" s="43"/>
    </row>
    <row r="476" spans="1:6" x14ac:dyDescent="0.25">
      <c r="A476" s="29"/>
      <c r="B476" s="23"/>
      <c r="C476" s="23"/>
      <c r="D476" s="24"/>
      <c r="E476" s="24"/>
      <c r="F476" s="43"/>
    </row>
    <row r="477" spans="1:6" x14ac:dyDescent="0.25">
      <c r="A477" s="29"/>
      <c r="B477" s="23"/>
      <c r="C477" s="23"/>
      <c r="D477" s="24"/>
      <c r="E477" s="24"/>
      <c r="F477" s="43"/>
    </row>
    <row r="478" spans="1:6" x14ac:dyDescent="0.25">
      <c r="A478" s="29"/>
      <c r="B478" s="23"/>
      <c r="C478" s="23"/>
      <c r="D478" s="24"/>
      <c r="E478" s="24"/>
      <c r="F478" s="43"/>
    </row>
    <row r="479" spans="1:6" x14ac:dyDescent="0.25">
      <c r="A479" s="29"/>
      <c r="B479" s="23"/>
      <c r="C479" s="23"/>
      <c r="D479" s="24"/>
      <c r="E479" s="24"/>
      <c r="F479" s="43"/>
    </row>
    <row r="480" spans="1:6" x14ac:dyDescent="0.25">
      <c r="A480" s="29"/>
      <c r="B480" s="23"/>
      <c r="C480" s="23"/>
      <c r="D480" s="24"/>
      <c r="E480" s="24"/>
      <c r="F480" s="43"/>
    </row>
    <row r="481" spans="1:6" x14ac:dyDescent="0.25">
      <c r="A481" s="29"/>
      <c r="B481" s="23"/>
      <c r="C481" s="23"/>
      <c r="D481" s="24"/>
      <c r="E481" s="24"/>
      <c r="F481" s="43"/>
    </row>
    <row r="482" spans="1:6" x14ac:dyDescent="0.25">
      <c r="A482" s="29"/>
      <c r="B482" s="23"/>
      <c r="C482" s="23"/>
      <c r="D482" s="24"/>
      <c r="E482" s="24"/>
      <c r="F482" s="43"/>
    </row>
    <row r="483" spans="1:6" x14ac:dyDescent="0.25">
      <c r="A483" s="29"/>
      <c r="B483" s="23"/>
      <c r="C483" s="23"/>
      <c r="D483" s="24"/>
      <c r="E483" s="24"/>
      <c r="F483" s="43"/>
    </row>
    <row r="484" spans="1:6" x14ac:dyDescent="0.25">
      <c r="A484" s="29"/>
      <c r="B484" s="23"/>
      <c r="C484" s="23"/>
      <c r="D484" s="24"/>
      <c r="E484" s="24"/>
      <c r="F484" s="43"/>
    </row>
    <row r="485" spans="1:6" x14ac:dyDescent="0.25">
      <c r="A485" s="29"/>
      <c r="B485" s="23"/>
      <c r="C485" s="23"/>
      <c r="D485" s="24"/>
      <c r="E485" s="24"/>
      <c r="F485" s="43"/>
    </row>
    <row r="486" spans="1:6" x14ac:dyDescent="0.25">
      <c r="A486" s="29"/>
      <c r="B486" s="23"/>
      <c r="C486" s="23"/>
      <c r="D486" s="24"/>
      <c r="E486" s="24"/>
      <c r="F486" s="43"/>
    </row>
    <row r="487" spans="1:6" x14ac:dyDescent="0.25">
      <c r="A487" s="29"/>
      <c r="B487" s="23"/>
      <c r="C487" s="23"/>
      <c r="D487" s="24"/>
      <c r="E487" s="24"/>
      <c r="F487" s="43"/>
    </row>
    <row r="488" spans="1:6" x14ac:dyDescent="0.25">
      <c r="A488" s="29"/>
      <c r="B488" s="23"/>
      <c r="C488" s="23"/>
      <c r="D488" s="24"/>
      <c r="E488" s="24"/>
      <c r="F488" s="43"/>
    </row>
    <row r="489" spans="1:6" x14ac:dyDescent="0.25">
      <c r="A489" s="29"/>
      <c r="B489" s="23"/>
      <c r="C489" s="23"/>
      <c r="D489" s="24"/>
      <c r="E489" s="24"/>
      <c r="F489" s="43"/>
    </row>
    <row r="490" spans="1:6" x14ac:dyDescent="0.25">
      <c r="A490" s="29"/>
      <c r="B490" s="23"/>
      <c r="C490" s="23"/>
      <c r="D490" s="24"/>
      <c r="E490" s="24"/>
      <c r="F490" s="43"/>
    </row>
    <row r="491" spans="1:6" x14ac:dyDescent="0.25">
      <c r="A491" s="29"/>
      <c r="B491" s="23"/>
      <c r="C491" s="23"/>
      <c r="D491" s="24"/>
      <c r="E491" s="24"/>
      <c r="F491" s="43"/>
    </row>
    <row r="492" spans="1:6" x14ac:dyDescent="0.25">
      <c r="A492" s="29"/>
      <c r="B492" s="23"/>
      <c r="C492" s="23"/>
      <c r="D492" s="24"/>
      <c r="E492" s="24"/>
      <c r="F492" s="43"/>
    </row>
    <row r="493" spans="1:6" x14ac:dyDescent="0.25">
      <c r="A493" s="29"/>
      <c r="B493" s="23"/>
      <c r="C493" s="23"/>
      <c r="D493" s="24"/>
      <c r="E493" s="24"/>
      <c r="F493" s="43"/>
    </row>
    <row r="494" spans="1:6" x14ac:dyDescent="0.25">
      <c r="A494" s="29"/>
      <c r="B494" s="23"/>
      <c r="C494" s="23"/>
      <c r="D494" s="24"/>
      <c r="E494" s="24"/>
      <c r="F494" s="43"/>
    </row>
    <row r="495" spans="1:6" x14ac:dyDescent="0.25">
      <c r="A495" s="29"/>
      <c r="B495" s="23"/>
      <c r="C495" s="23"/>
      <c r="D495" s="24"/>
      <c r="E495" s="24"/>
      <c r="F495" s="43"/>
    </row>
    <row r="496" spans="1:6" x14ac:dyDescent="0.25">
      <c r="A496" s="29"/>
      <c r="B496" s="23"/>
      <c r="C496" s="23"/>
      <c r="D496" s="24"/>
      <c r="E496" s="24"/>
      <c r="F496" s="43"/>
    </row>
    <row r="497" spans="1:6" x14ac:dyDescent="0.25">
      <c r="A497" s="29"/>
      <c r="B497" s="23"/>
      <c r="C497" s="23"/>
      <c r="D497" s="24"/>
      <c r="E497" s="24"/>
      <c r="F497" s="43"/>
    </row>
    <row r="498" spans="1:6" x14ac:dyDescent="0.25">
      <c r="A498" s="29"/>
      <c r="B498" s="23"/>
      <c r="C498" s="23"/>
      <c r="D498" s="24"/>
      <c r="E498" s="24"/>
      <c r="F498" s="43"/>
    </row>
    <row r="499" spans="1:6" x14ac:dyDescent="0.25">
      <c r="A499" s="29"/>
      <c r="B499" s="23"/>
      <c r="C499" s="23"/>
      <c r="D499" s="24"/>
      <c r="E499" s="24"/>
      <c r="F499" s="43"/>
    </row>
    <row r="500" spans="1:6" x14ac:dyDescent="0.25">
      <c r="A500" s="29"/>
      <c r="B500" s="23"/>
      <c r="C500" s="23"/>
      <c r="D500" s="24"/>
      <c r="E500" s="24"/>
      <c r="F500" s="43"/>
    </row>
    <row r="501" spans="1:6" x14ac:dyDescent="0.25">
      <c r="A501" s="29"/>
      <c r="B501" s="23"/>
      <c r="C501" s="23"/>
      <c r="D501" s="24"/>
      <c r="E501" s="24"/>
      <c r="F501" s="43"/>
    </row>
    <row r="502" spans="1:6" x14ac:dyDescent="0.25">
      <c r="A502" s="29"/>
      <c r="B502" s="23"/>
      <c r="C502" s="23"/>
      <c r="D502" s="24"/>
      <c r="E502" s="24"/>
      <c r="F502" s="43"/>
    </row>
    <row r="503" spans="1:6" x14ac:dyDescent="0.25">
      <c r="A503" s="29"/>
      <c r="B503" s="23"/>
      <c r="C503" s="23"/>
      <c r="D503" s="24"/>
      <c r="E503" s="24"/>
      <c r="F503" s="43"/>
    </row>
    <row r="504" spans="1:6" x14ac:dyDescent="0.25">
      <c r="A504" s="29"/>
      <c r="B504" s="23"/>
      <c r="C504" s="23"/>
      <c r="D504" s="24"/>
      <c r="E504" s="24"/>
      <c r="F504" s="43"/>
    </row>
    <row r="505" spans="1:6" x14ac:dyDescent="0.25">
      <c r="A505" s="29"/>
      <c r="B505" s="23"/>
      <c r="C505" s="23"/>
      <c r="D505" s="24"/>
      <c r="E505" s="24"/>
      <c r="F505" s="43"/>
    </row>
    <row r="506" spans="1:6" x14ac:dyDescent="0.25">
      <c r="A506" s="29"/>
      <c r="B506" s="23"/>
      <c r="C506" s="23"/>
      <c r="D506" s="24"/>
      <c r="E506" s="24"/>
      <c r="F506" s="43"/>
    </row>
    <row r="507" spans="1:6" x14ac:dyDescent="0.25">
      <c r="A507" s="29"/>
      <c r="B507" s="23"/>
      <c r="C507" s="23"/>
      <c r="D507" s="24"/>
      <c r="E507" s="24"/>
      <c r="F507" s="43"/>
    </row>
    <row r="508" spans="1:6" x14ac:dyDescent="0.25">
      <c r="A508" s="29"/>
      <c r="B508" s="23"/>
      <c r="C508" s="23"/>
      <c r="D508" s="24"/>
      <c r="E508" s="24"/>
      <c r="F508" s="43"/>
    </row>
    <row r="509" spans="1:6" x14ac:dyDescent="0.25">
      <c r="A509" s="29"/>
      <c r="B509" s="23"/>
      <c r="C509" s="23"/>
      <c r="D509" s="24"/>
      <c r="E509" s="24"/>
      <c r="F509" s="43"/>
    </row>
    <row r="510" spans="1:6" x14ac:dyDescent="0.25">
      <c r="A510" s="29"/>
      <c r="B510" s="23"/>
      <c r="C510" s="23"/>
      <c r="D510" s="24"/>
      <c r="E510" s="24"/>
      <c r="F510" s="43"/>
    </row>
    <row r="511" spans="1:6" x14ac:dyDescent="0.25">
      <c r="A511" s="29"/>
      <c r="B511" s="23"/>
      <c r="C511" s="23"/>
      <c r="D511" s="24"/>
      <c r="E511" s="24"/>
      <c r="F511" s="43"/>
    </row>
    <row r="512" spans="1:6" x14ac:dyDescent="0.25">
      <c r="A512" s="29"/>
      <c r="B512" s="23"/>
      <c r="C512" s="23"/>
      <c r="D512" s="24"/>
      <c r="E512" s="24"/>
      <c r="F512" s="43"/>
    </row>
    <row r="513" spans="1:6" x14ac:dyDescent="0.25">
      <c r="A513" s="29"/>
      <c r="B513" s="23"/>
      <c r="C513" s="23"/>
      <c r="D513" s="24"/>
      <c r="E513" s="24"/>
      <c r="F513" s="43"/>
    </row>
    <row r="514" spans="1:6" x14ac:dyDescent="0.25">
      <c r="A514" s="29"/>
      <c r="B514" s="23"/>
      <c r="C514" s="23"/>
      <c r="D514" s="24"/>
      <c r="E514" s="24"/>
      <c r="F514" s="43"/>
    </row>
    <row r="515" spans="1:6" x14ac:dyDescent="0.25">
      <c r="A515" s="29"/>
      <c r="B515" s="23"/>
      <c r="C515" s="23"/>
      <c r="D515" s="24"/>
      <c r="E515" s="24"/>
      <c r="F515" s="43"/>
    </row>
    <row r="516" spans="1:6" x14ac:dyDescent="0.25">
      <c r="A516" s="29"/>
      <c r="B516" s="23"/>
      <c r="C516" s="23"/>
      <c r="D516" s="24"/>
      <c r="E516" s="24"/>
      <c r="F516" s="43"/>
    </row>
    <row r="517" spans="1:6" x14ac:dyDescent="0.25">
      <c r="A517" s="29"/>
      <c r="B517" s="23"/>
      <c r="C517" s="23"/>
      <c r="D517" s="24"/>
      <c r="E517" s="24"/>
      <c r="F517" s="43"/>
    </row>
    <row r="518" spans="1:6" x14ac:dyDescent="0.25">
      <c r="A518" s="29"/>
      <c r="B518" s="23"/>
      <c r="C518" s="23"/>
      <c r="D518" s="24"/>
      <c r="E518" s="24"/>
      <c r="F518" s="43"/>
    </row>
    <row r="519" spans="1:6" x14ac:dyDescent="0.25">
      <c r="A519" s="29"/>
      <c r="B519" s="23"/>
      <c r="C519" s="23"/>
      <c r="D519" s="24"/>
      <c r="E519" s="24"/>
      <c r="F519" s="43"/>
    </row>
    <row r="520" spans="1:6" x14ac:dyDescent="0.25">
      <c r="A520" s="29"/>
      <c r="B520" s="23"/>
      <c r="C520" s="23"/>
      <c r="D520" s="24"/>
      <c r="E520" s="24"/>
      <c r="F520" s="43"/>
    </row>
    <row r="521" spans="1:6" x14ac:dyDescent="0.25">
      <c r="A521" s="29"/>
      <c r="B521" s="23"/>
      <c r="C521" s="23"/>
      <c r="D521" s="24"/>
      <c r="E521" s="24"/>
      <c r="F521" s="43"/>
    </row>
    <row r="522" spans="1:6" x14ac:dyDescent="0.25">
      <c r="A522" s="29"/>
      <c r="B522" s="23"/>
      <c r="C522" s="23"/>
      <c r="D522" s="24"/>
      <c r="E522" s="24"/>
      <c r="F522" s="43"/>
    </row>
    <row r="523" spans="1:6" x14ac:dyDescent="0.25">
      <c r="A523" s="29"/>
      <c r="B523" s="23"/>
      <c r="C523" s="23"/>
      <c r="D523" s="24"/>
      <c r="E523" s="24"/>
      <c r="F523" s="43"/>
    </row>
    <row r="524" spans="1:6" x14ac:dyDescent="0.25">
      <c r="A524" s="29"/>
      <c r="B524" s="23"/>
      <c r="C524" s="23"/>
      <c r="D524" s="24"/>
      <c r="E524" s="24"/>
      <c r="F524" s="43"/>
    </row>
    <row r="525" spans="1:6" x14ac:dyDescent="0.25">
      <c r="A525" s="29"/>
      <c r="B525" s="23"/>
      <c r="C525" s="23"/>
      <c r="D525" s="24"/>
      <c r="E525" s="24"/>
      <c r="F525" s="43"/>
    </row>
    <row r="526" spans="1:6" x14ac:dyDescent="0.25">
      <c r="A526" s="29"/>
      <c r="B526" s="23"/>
      <c r="C526" s="23"/>
      <c r="D526" s="24"/>
      <c r="E526" s="24"/>
      <c r="F526" s="43"/>
    </row>
    <row r="527" spans="1:6" x14ac:dyDescent="0.25">
      <c r="A527" s="29"/>
      <c r="B527" s="23"/>
      <c r="C527" s="23"/>
      <c r="D527" s="24"/>
      <c r="E527" s="24"/>
      <c r="F527" s="43"/>
    </row>
    <row r="528" spans="1:6" x14ac:dyDescent="0.25">
      <c r="A528" s="29"/>
      <c r="B528" s="23"/>
      <c r="C528" s="23"/>
      <c r="D528" s="24"/>
      <c r="E528" s="24"/>
      <c r="F528" s="43"/>
    </row>
    <row r="529" spans="1:6" x14ac:dyDescent="0.25">
      <c r="A529" s="29"/>
      <c r="B529" s="23"/>
      <c r="C529" s="23"/>
      <c r="D529" s="24"/>
      <c r="E529" s="24"/>
      <c r="F529" s="43"/>
    </row>
    <row r="530" spans="1:6" x14ac:dyDescent="0.25">
      <c r="A530" s="29"/>
      <c r="B530" s="23"/>
      <c r="C530" s="23"/>
      <c r="D530" s="24"/>
      <c r="E530" s="24"/>
      <c r="F530" s="43"/>
    </row>
    <row r="531" spans="1:6" x14ac:dyDescent="0.25">
      <c r="A531" s="29"/>
      <c r="B531" s="23"/>
      <c r="C531" s="23"/>
      <c r="D531" s="24"/>
      <c r="E531" s="24"/>
      <c r="F531" s="43"/>
    </row>
    <row r="532" spans="1:6" x14ac:dyDescent="0.25">
      <c r="A532" s="29"/>
      <c r="B532" s="23"/>
      <c r="C532" s="23"/>
      <c r="D532" s="24"/>
      <c r="E532" s="24"/>
      <c r="F532" s="43"/>
    </row>
    <row r="533" spans="1:6" x14ac:dyDescent="0.25">
      <c r="A533" s="29"/>
      <c r="B533" s="23"/>
      <c r="C533" s="23"/>
      <c r="D533" s="24"/>
      <c r="E533" s="24"/>
      <c r="F533" s="43"/>
    </row>
    <row r="534" spans="1:6" x14ac:dyDescent="0.25">
      <c r="A534" s="29"/>
      <c r="B534" s="23"/>
      <c r="C534" s="23"/>
      <c r="D534" s="24"/>
      <c r="E534" s="24"/>
      <c r="F534" s="43"/>
    </row>
    <row r="535" spans="1:6" x14ac:dyDescent="0.25">
      <c r="A535" s="29"/>
      <c r="B535" s="23"/>
      <c r="C535" s="23"/>
      <c r="D535" s="24"/>
      <c r="E535" s="24"/>
      <c r="F535" s="43"/>
    </row>
    <row r="536" spans="1:6" x14ac:dyDescent="0.25">
      <c r="A536" s="29"/>
      <c r="B536" s="23"/>
      <c r="C536" s="23"/>
      <c r="D536" s="24"/>
      <c r="E536" s="24"/>
      <c r="F536" s="43"/>
    </row>
    <row r="537" spans="1:6" x14ac:dyDescent="0.25">
      <c r="A537" s="29"/>
      <c r="B537" s="23"/>
      <c r="C537" s="23"/>
      <c r="D537" s="24"/>
      <c r="E537" s="24"/>
      <c r="F537" s="43"/>
    </row>
    <row r="538" spans="1:6" x14ac:dyDescent="0.25">
      <c r="A538" s="29"/>
      <c r="B538" s="23"/>
      <c r="C538" s="23"/>
      <c r="D538" s="24"/>
      <c r="E538" s="24"/>
      <c r="F538" s="43"/>
    </row>
    <row r="539" spans="1:6" x14ac:dyDescent="0.25">
      <c r="A539" s="29"/>
      <c r="B539" s="23"/>
      <c r="C539" s="23"/>
      <c r="D539" s="24"/>
      <c r="E539" s="24"/>
      <c r="F539" s="43"/>
    </row>
    <row r="540" spans="1:6" x14ac:dyDescent="0.25">
      <c r="A540" s="29"/>
      <c r="B540" s="23"/>
      <c r="C540" s="23"/>
      <c r="D540" s="24"/>
      <c r="E540" s="24"/>
      <c r="F540" s="43"/>
    </row>
    <row r="541" spans="1:6" x14ac:dyDescent="0.25">
      <c r="A541" s="29"/>
      <c r="B541" s="23"/>
      <c r="C541" s="23"/>
      <c r="D541" s="24"/>
      <c r="E541" s="24"/>
      <c r="F541" s="43"/>
    </row>
    <row r="542" spans="1:6" x14ac:dyDescent="0.25">
      <c r="A542" s="29"/>
      <c r="B542" s="23"/>
      <c r="C542" s="23"/>
      <c r="D542" s="24"/>
      <c r="E542" s="24"/>
      <c r="F542" s="43"/>
    </row>
    <row r="543" spans="1:6" x14ac:dyDescent="0.25">
      <c r="A543" s="29"/>
      <c r="B543" s="23"/>
      <c r="C543" s="23"/>
      <c r="D543" s="24"/>
      <c r="E543" s="24"/>
      <c r="F543" s="43"/>
    </row>
    <row r="544" spans="1:6" x14ac:dyDescent="0.25">
      <c r="A544" s="29"/>
      <c r="B544" s="23"/>
      <c r="C544" s="23"/>
      <c r="D544" s="24"/>
      <c r="E544" s="24"/>
      <c r="F544" s="43"/>
    </row>
    <row r="545" spans="1:6" x14ac:dyDescent="0.25">
      <c r="A545" s="29"/>
      <c r="B545" s="23"/>
      <c r="C545" s="23"/>
      <c r="D545" s="24"/>
      <c r="E545" s="24"/>
      <c r="F545" s="43"/>
    </row>
    <row r="546" spans="1:6" x14ac:dyDescent="0.25">
      <c r="A546" s="29"/>
      <c r="B546" s="23"/>
      <c r="C546" s="23"/>
      <c r="D546" s="24"/>
      <c r="E546" s="24"/>
      <c r="F546" s="43"/>
    </row>
    <row r="547" spans="1:6" x14ac:dyDescent="0.25">
      <c r="A547" s="29"/>
      <c r="B547" s="23"/>
      <c r="C547" s="23"/>
      <c r="D547" s="24"/>
      <c r="E547" s="24"/>
      <c r="F547" s="43"/>
    </row>
    <row r="548" spans="1:6" x14ac:dyDescent="0.25">
      <c r="A548" s="29"/>
      <c r="B548" s="23"/>
      <c r="C548" s="23"/>
      <c r="D548" s="24"/>
      <c r="E548" s="24"/>
      <c r="F548" s="43"/>
    </row>
    <row r="549" spans="1:6" x14ac:dyDescent="0.25">
      <c r="A549" s="29"/>
      <c r="B549" s="23"/>
      <c r="C549" s="23"/>
      <c r="D549" s="24"/>
      <c r="E549" s="24"/>
      <c r="F549" s="43"/>
    </row>
    <row r="550" spans="1:6" x14ac:dyDescent="0.25">
      <c r="A550" s="29"/>
      <c r="B550" s="23"/>
      <c r="C550" s="23"/>
      <c r="D550" s="24"/>
      <c r="E550" s="24"/>
      <c r="F550" s="43"/>
    </row>
    <row r="551" spans="1:6" x14ac:dyDescent="0.25">
      <c r="A551" s="29"/>
      <c r="B551" s="23"/>
      <c r="C551" s="23"/>
      <c r="D551" s="24"/>
      <c r="E551" s="24"/>
      <c r="F551" s="43"/>
    </row>
    <row r="552" spans="1:6" x14ac:dyDescent="0.25">
      <c r="A552" s="29"/>
      <c r="B552" s="23"/>
      <c r="C552" s="23"/>
      <c r="D552" s="24"/>
      <c r="E552" s="24"/>
      <c r="F552" s="43"/>
    </row>
    <row r="553" spans="1:6" x14ac:dyDescent="0.25">
      <c r="A553" s="29"/>
      <c r="B553" s="23"/>
      <c r="C553" s="23"/>
      <c r="D553" s="24"/>
      <c r="E553" s="24"/>
      <c r="F553" s="43"/>
    </row>
    <row r="554" spans="1:6" x14ac:dyDescent="0.25">
      <c r="A554" s="29"/>
      <c r="B554" s="23"/>
      <c r="C554" s="23"/>
      <c r="D554" s="24"/>
      <c r="E554" s="24"/>
      <c r="F554" s="43"/>
    </row>
    <row r="555" spans="1:6" x14ac:dyDescent="0.25">
      <c r="A555" s="29"/>
      <c r="B555" s="23"/>
      <c r="C555" s="23"/>
      <c r="D555" s="24"/>
      <c r="E555" s="24"/>
      <c r="F555" s="43"/>
    </row>
    <row r="556" spans="1:6" x14ac:dyDescent="0.25">
      <c r="A556" s="29"/>
      <c r="B556" s="23"/>
      <c r="C556" s="23"/>
      <c r="D556" s="24"/>
      <c r="E556" s="24"/>
      <c r="F556" s="43"/>
    </row>
    <row r="557" spans="1:6" x14ac:dyDescent="0.25">
      <c r="A557" s="29"/>
      <c r="B557" s="23"/>
      <c r="C557" s="23"/>
      <c r="D557" s="24"/>
      <c r="E557" s="24"/>
      <c r="F557" s="43"/>
    </row>
    <row r="558" spans="1:6" x14ac:dyDescent="0.25">
      <c r="A558" s="29"/>
      <c r="B558" s="23"/>
      <c r="C558" s="23"/>
      <c r="D558" s="24"/>
      <c r="E558" s="24"/>
      <c r="F558" s="43"/>
    </row>
    <row r="559" spans="1:6" x14ac:dyDescent="0.25">
      <c r="A559" s="29"/>
      <c r="B559" s="23"/>
      <c r="C559" s="23"/>
      <c r="D559" s="24"/>
      <c r="E559" s="24"/>
      <c r="F559" s="43"/>
    </row>
    <row r="560" spans="1:6" x14ac:dyDescent="0.25">
      <c r="A560" s="29"/>
      <c r="B560" s="23"/>
      <c r="C560" s="23"/>
      <c r="D560" s="24"/>
      <c r="E560" s="24"/>
      <c r="F560" s="43"/>
    </row>
    <row r="561" spans="1:6" x14ac:dyDescent="0.25">
      <c r="A561" s="29"/>
      <c r="B561" s="23"/>
      <c r="C561" s="23"/>
      <c r="D561" s="24"/>
      <c r="E561" s="24"/>
      <c r="F561" s="43"/>
    </row>
    <row r="562" spans="1:6" x14ac:dyDescent="0.25">
      <c r="A562" s="29"/>
      <c r="B562" s="23"/>
      <c r="C562" s="23"/>
      <c r="D562" s="24"/>
      <c r="E562" s="24"/>
      <c r="F562" s="43"/>
    </row>
    <row r="563" spans="1:6" x14ac:dyDescent="0.25">
      <c r="A563" s="29"/>
      <c r="B563" s="23"/>
      <c r="C563" s="23"/>
      <c r="D563" s="24"/>
      <c r="E563" s="24"/>
      <c r="F563" s="43"/>
    </row>
    <row r="564" spans="1:6" x14ac:dyDescent="0.25">
      <c r="A564" s="29"/>
      <c r="B564" s="23"/>
      <c r="C564" s="23"/>
      <c r="D564" s="24"/>
      <c r="E564" s="24"/>
      <c r="F564" s="43"/>
    </row>
    <row r="565" spans="1:6" x14ac:dyDescent="0.25">
      <c r="A565" s="29"/>
      <c r="B565" s="23"/>
      <c r="C565" s="23"/>
      <c r="D565" s="24"/>
      <c r="E565" s="24"/>
      <c r="F565" s="43"/>
    </row>
    <row r="566" spans="1:6" x14ac:dyDescent="0.25">
      <c r="A566" s="29"/>
      <c r="B566" s="23"/>
      <c r="C566" s="23"/>
      <c r="D566" s="24"/>
      <c r="E566" s="24"/>
      <c r="F566" s="43"/>
    </row>
    <row r="567" spans="1:6" x14ac:dyDescent="0.25">
      <c r="A567" s="29"/>
      <c r="B567" s="23"/>
      <c r="C567" s="23"/>
      <c r="D567" s="24"/>
      <c r="E567" s="24"/>
      <c r="F567" s="43"/>
    </row>
    <row r="568" spans="1:6" x14ac:dyDescent="0.25">
      <c r="A568" s="29"/>
      <c r="B568" s="23"/>
      <c r="C568" s="23"/>
      <c r="D568" s="24"/>
      <c r="E568" s="24"/>
      <c r="F568" s="43"/>
    </row>
    <row r="569" spans="1:6" x14ac:dyDescent="0.25">
      <c r="A569" s="29"/>
      <c r="B569" s="23"/>
      <c r="C569" s="23"/>
      <c r="D569" s="24"/>
      <c r="E569" s="24"/>
      <c r="F569" s="43"/>
    </row>
    <row r="570" spans="1:6" x14ac:dyDescent="0.25">
      <c r="A570" s="29"/>
      <c r="B570" s="23"/>
      <c r="C570" s="23"/>
      <c r="D570" s="24"/>
      <c r="E570" s="24"/>
      <c r="F570" s="43"/>
    </row>
    <row r="571" spans="1:6" x14ac:dyDescent="0.25">
      <c r="A571" s="29"/>
      <c r="B571" s="23"/>
      <c r="C571" s="23"/>
      <c r="D571" s="24"/>
      <c r="E571" s="24"/>
      <c r="F571" s="43"/>
    </row>
    <row r="572" spans="1:6" x14ac:dyDescent="0.25">
      <c r="A572" s="29"/>
      <c r="B572" s="23"/>
      <c r="C572" s="23"/>
      <c r="D572" s="24"/>
      <c r="E572" s="24"/>
      <c r="F572" s="43"/>
    </row>
    <row r="573" spans="1:6" x14ac:dyDescent="0.25">
      <c r="A573" s="29"/>
      <c r="B573" s="23"/>
      <c r="C573" s="23"/>
      <c r="D573" s="24"/>
      <c r="E573" s="24"/>
      <c r="F573" s="43"/>
    </row>
    <row r="574" spans="1:6" x14ac:dyDescent="0.25">
      <c r="A574" s="29"/>
      <c r="B574" s="23"/>
      <c r="C574" s="23"/>
      <c r="D574" s="24"/>
      <c r="E574" s="24"/>
      <c r="F574" s="43"/>
    </row>
    <row r="575" spans="1:6" x14ac:dyDescent="0.25">
      <c r="A575" s="29"/>
      <c r="B575" s="23"/>
      <c r="C575" s="23"/>
      <c r="D575" s="24"/>
      <c r="E575" s="24"/>
      <c r="F575" s="43"/>
    </row>
    <row r="576" spans="1:6" x14ac:dyDescent="0.25">
      <c r="A576" s="29"/>
      <c r="B576" s="23"/>
      <c r="C576" s="23"/>
      <c r="D576" s="24"/>
      <c r="E576" s="24"/>
      <c r="F576" s="43"/>
    </row>
    <row r="577" spans="1:6" x14ac:dyDescent="0.25">
      <c r="A577" s="29"/>
      <c r="B577" s="23"/>
      <c r="C577" s="23"/>
      <c r="D577" s="24"/>
      <c r="E577" s="24"/>
      <c r="F577" s="43"/>
    </row>
    <row r="578" spans="1:6" x14ac:dyDescent="0.25">
      <c r="A578" s="29"/>
      <c r="B578" s="23"/>
      <c r="C578" s="23"/>
      <c r="D578" s="24"/>
      <c r="E578" s="24"/>
      <c r="F578" s="43"/>
    </row>
    <row r="579" spans="1:6" x14ac:dyDescent="0.25">
      <c r="A579" s="29"/>
      <c r="B579" s="23"/>
      <c r="C579" s="23"/>
      <c r="D579" s="24"/>
      <c r="E579" s="24"/>
      <c r="F579" s="43"/>
    </row>
    <row r="580" spans="1:6" x14ac:dyDescent="0.25">
      <c r="A580" s="29"/>
      <c r="B580" s="23"/>
      <c r="C580" s="23"/>
      <c r="D580" s="24"/>
      <c r="E580" s="24"/>
      <c r="F580" s="43"/>
    </row>
    <row r="581" spans="1:6" x14ac:dyDescent="0.25">
      <c r="A581" s="29"/>
      <c r="B581" s="23"/>
      <c r="C581" s="23"/>
      <c r="D581" s="24"/>
      <c r="E581" s="24"/>
      <c r="F581" s="43"/>
    </row>
    <row r="582" spans="1:6" x14ac:dyDescent="0.25">
      <c r="A582" s="29"/>
      <c r="B582" s="23"/>
      <c r="C582" s="23"/>
      <c r="D582" s="24"/>
      <c r="E582" s="24"/>
      <c r="F582" s="43"/>
    </row>
    <row r="583" spans="1:6" x14ac:dyDescent="0.25">
      <c r="A583" s="29"/>
      <c r="B583" s="23"/>
      <c r="C583" s="23"/>
      <c r="D583" s="24"/>
      <c r="E583" s="24"/>
      <c r="F583" s="43"/>
    </row>
    <row r="584" spans="1:6" x14ac:dyDescent="0.25">
      <c r="A584" s="29"/>
      <c r="B584" s="23"/>
      <c r="C584" s="23"/>
      <c r="D584" s="24"/>
      <c r="E584" s="24"/>
      <c r="F584" s="43"/>
    </row>
    <row r="585" spans="1:6" x14ac:dyDescent="0.25">
      <c r="A585" s="29"/>
      <c r="B585" s="23"/>
      <c r="C585" s="23"/>
      <c r="D585" s="24"/>
      <c r="E585" s="24"/>
      <c r="F585" s="43"/>
    </row>
    <row r="586" spans="1:6" x14ac:dyDescent="0.25">
      <c r="A586" s="29"/>
      <c r="B586" s="23"/>
      <c r="C586" s="23"/>
      <c r="D586" s="24"/>
      <c r="E586" s="24"/>
      <c r="F586" s="43"/>
    </row>
    <row r="587" spans="1:6" x14ac:dyDescent="0.25">
      <c r="A587" s="29"/>
      <c r="B587" s="23"/>
      <c r="C587" s="23"/>
      <c r="D587" s="24"/>
      <c r="E587" s="24"/>
      <c r="F587" s="43"/>
    </row>
    <row r="588" spans="1:6" x14ac:dyDescent="0.25">
      <c r="A588" s="29"/>
      <c r="B588" s="23"/>
      <c r="C588" s="23"/>
      <c r="D588" s="24"/>
      <c r="E588" s="24"/>
      <c r="F588" s="43"/>
    </row>
    <row r="589" spans="1:6" x14ac:dyDescent="0.25">
      <c r="A589" s="29"/>
      <c r="B589" s="23"/>
      <c r="C589" s="23"/>
      <c r="D589" s="24"/>
      <c r="E589" s="24"/>
      <c r="F589" s="43"/>
    </row>
    <row r="590" spans="1:6" x14ac:dyDescent="0.25">
      <c r="A590" s="29"/>
      <c r="B590" s="23"/>
      <c r="C590" s="23"/>
      <c r="D590" s="24"/>
      <c r="E590" s="24"/>
      <c r="F590" s="43"/>
    </row>
    <row r="591" spans="1:6" x14ac:dyDescent="0.25">
      <c r="A591" s="29"/>
      <c r="B591" s="23"/>
      <c r="C591" s="23"/>
      <c r="D591" s="24"/>
      <c r="E591" s="24"/>
      <c r="F591" s="43"/>
    </row>
    <row r="592" spans="1:6" x14ac:dyDescent="0.25">
      <c r="A592" s="29"/>
      <c r="B592" s="23"/>
      <c r="C592" s="23"/>
      <c r="D592" s="24"/>
      <c r="E592" s="24"/>
      <c r="F592" s="43"/>
    </row>
    <row r="593" spans="1:6" x14ac:dyDescent="0.25">
      <c r="A593" s="29"/>
      <c r="B593" s="23"/>
      <c r="C593" s="23"/>
      <c r="D593" s="24"/>
      <c r="E593" s="24"/>
      <c r="F593" s="43"/>
    </row>
    <row r="594" spans="1:6" x14ac:dyDescent="0.25">
      <c r="A594" s="29"/>
      <c r="B594" s="23"/>
      <c r="C594" s="23"/>
      <c r="D594" s="24"/>
      <c r="E594" s="24"/>
      <c r="F594" s="43"/>
    </row>
    <row r="595" spans="1:6" x14ac:dyDescent="0.25">
      <c r="A595" s="29"/>
      <c r="B595" s="23"/>
      <c r="C595" s="23"/>
      <c r="D595" s="24"/>
      <c r="E595" s="24"/>
      <c r="F595" s="43"/>
    </row>
    <row r="596" spans="1:6" x14ac:dyDescent="0.25">
      <c r="A596" s="29"/>
      <c r="B596" s="23"/>
      <c r="C596" s="23"/>
      <c r="D596" s="24"/>
      <c r="E596" s="24"/>
      <c r="F596" s="43"/>
    </row>
    <row r="597" spans="1:6" x14ac:dyDescent="0.25">
      <c r="A597" s="29"/>
      <c r="B597" s="23"/>
      <c r="C597" s="23"/>
      <c r="D597" s="24"/>
      <c r="E597" s="24"/>
      <c r="F597" s="43"/>
    </row>
    <row r="598" spans="1:6" x14ac:dyDescent="0.25">
      <c r="A598" s="29"/>
      <c r="B598" s="23"/>
      <c r="C598" s="23"/>
      <c r="D598" s="24"/>
      <c r="E598" s="24"/>
      <c r="F598" s="43"/>
    </row>
    <row r="599" spans="1:6" x14ac:dyDescent="0.25">
      <c r="A599" s="29"/>
      <c r="B599" s="23"/>
      <c r="C599" s="23"/>
      <c r="D599" s="24"/>
      <c r="E599" s="24"/>
      <c r="F599" s="43"/>
    </row>
    <row r="600" spans="1:6" x14ac:dyDescent="0.25">
      <c r="A600" s="29"/>
      <c r="B600" s="23"/>
      <c r="C600" s="23"/>
      <c r="D600" s="24"/>
      <c r="E600" s="24"/>
      <c r="F600" s="43"/>
    </row>
    <row r="601" spans="1:6" x14ac:dyDescent="0.25">
      <c r="A601" s="29"/>
      <c r="B601" s="23"/>
      <c r="C601" s="23"/>
      <c r="D601" s="24"/>
      <c r="E601" s="24"/>
      <c r="F601" s="43"/>
    </row>
    <row r="602" spans="1:6" x14ac:dyDescent="0.25">
      <c r="A602" s="29"/>
      <c r="B602" s="23"/>
      <c r="C602" s="23"/>
      <c r="D602" s="24"/>
      <c r="E602" s="24"/>
      <c r="F602" s="43"/>
    </row>
    <row r="603" spans="1:6" x14ac:dyDescent="0.25">
      <c r="A603" s="29"/>
      <c r="B603" s="23"/>
      <c r="C603" s="23"/>
      <c r="D603" s="24"/>
      <c r="E603" s="24"/>
      <c r="F603" s="43"/>
    </row>
    <row r="604" spans="1:6" x14ac:dyDescent="0.25">
      <c r="A604" s="29"/>
      <c r="B604" s="23"/>
      <c r="C604" s="23"/>
      <c r="D604" s="24"/>
      <c r="E604" s="24"/>
      <c r="F604" s="43"/>
    </row>
    <row r="605" spans="1:6" x14ac:dyDescent="0.25">
      <c r="A605" s="29"/>
      <c r="B605" s="23"/>
      <c r="C605" s="23"/>
      <c r="D605" s="24"/>
      <c r="E605" s="24"/>
      <c r="F605" s="43"/>
    </row>
    <row r="606" spans="1:6" x14ac:dyDescent="0.25">
      <c r="A606" s="29"/>
      <c r="B606" s="23"/>
      <c r="C606" s="23"/>
      <c r="D606" s="24"/>
      <c r="E606" s="24"/>
      <c r="F606" s="43"/>
    </row>
    <row r="607" spans="1:6" x14ac:dyDescent="0.25">
      <c r="A607" s="29"/>
      <c r="B607" s="23"/>
      <c r="C607" s="23"/>
      <c r="D607" s="24"/>
      <c r="E607" s="24"/>
      <c r="F607" s="43"/>
    </row>
    <row r="608" spans="1:6" x14ac:dyDescent="0.25">
      <c r="A608" s="29"/>
      <c r="B608" s="23"/>
      <c r="C608" s="23"/>
      <c r="D608" s="24"/>
      <c r="E608" s="24"/>
      <c r="F608" s="43"/>
    </row>
    <row r="609" spans="1:6" x14ac:dyDescent="0.25">
      <c r="A609" s="29"/>
      <c r="B609" s="23"/>
      <c r="C609" s="23"/>
      <c r="D609" s="24"/>
      <c r="E609" s="24"/>
      <c r="F609" s="43"/>
    </row>
    <row r="610" spans="1:6" x14ac:dyDescent="0.25">
      <c r="A610" s="29"/>
      <c r="B610" s="23"/>
      <c r="C610" s="23"/>
      <c r="D610" s="24"/>
      <c r="E610" s="24"/>
      <c r="F610" s="43"/>
    </row>
    <row r="611" spans="1:6" x14ac:dyDescent="0.25">
      <c r="A611" s="29"/>
      <c r="B611" s="23"/>
      <c r="C611" s="23"/>
      <c r="D611" s="24"/>
      <c r="E611" s="24"/>
      <c r="F611" s="43"/>
    </row>
    <row r="612" spans="1:6" x14ac:dyDescent="0.25">
      <c r="A612" s="29"/>
      <c r="B612" s="23"/>
      <c r="C612" s="23"/>
      <c r="D612" s="24"/>
      <c r="E612" s="24"/>
      <c r="F612" s="43"/>
    </row>
    <row r="613" spans="1:6" x14ac:dyDescent="0.25">
      <c r="A613" s="29"/>
      <c r="B613" s="23"/>
      <c r="C613" s="23"/>
      <c r="D613" s="24"/>
      <c r="E613" s="24"/>
      <c r="F613" s="43"/>
    </row>
    <row r="614" spans="1:6" x14ac:dyDescent="0.25">
      <c r="A614" s="29"/>
      <c r="B614" s="23"/>
      <c r="C614" s="23"/>
      <c r="D614" s="24"/>
      <c r="E614" s="24"/>
      <c r="F614" s="43"/>
    </row>
    <row r="615" spans="1:6" x14ac:dyDescent="0.25">
      <c r="A615" s="29"/>
      <c r="B615" s="23"/>
      <c r="C615" s="23"/>
      <c r="D615" s="24"/>
      <c r="E615" s="24"/>
      <c r="F615" s="43"/>
    </row>
    <row r="616" spans="1:6" x14ac:dyDescent="0.25">
      <c r="A616" s="29"/>
      <c r="B616" s="23"/>
      <c r="C616" s="23"/>
      <c r="D616" s="24"/>
      <c r="E616" s="24"/>
      <c r="F616" s="43"/>
    </row>
    <row r="617" spans="1:6" x14ac:dyDescent="0.25">
      <c r="A617" s="29"/>
      <c r="B617" s="23"/>
      <c r="C617" s="23"/>
      <c r="D617" s="24"/>
      <c r="E617" s="24"/>
      <c r="F617" s="43"/>
    </row>
    <row r="618" spans="1:6" x14ac:dyDescent="0.25">
      <c r="A618" s="29"/>
      <c r="B618" s="23"/>
      <c r="C618" s="23"/>
      <c r="D618" s="24"/>
      <c r="E618" s="24"/>
      <c r="F618" s="43"/>
    </row>
    <row r="619" spans="1:6" x14ac:dyDescent="0.25">
      <c r="A619" s="29"/>
      <c r="B619" s="23"/>
      <c r="C619" s="23"/>
      <c r="D619" s="24"/>
      <c r="E619" s="24"/>
      <c r="F619" s="43"/>
    </row>
    <row r="620" spans="1:6" x14ac:dyDescent="0.25">
      <c r="A620" s="29"/>
      <c r="B620" s="23"/>
      <c r="C620" s="23"/>
      <c r="D620" s="24"/>
      <c r="E620" s="24"/>
      <c r="F620" s="43"/>
    </row>
    <row r="621" spans="1:6" x14ac:dyDescent="0.25">
      <c r="A621" s="29"/>
      <c r="B621" s="23"/>
      <c r="C621" s="23"/>
      <c r="D621" s="24"/>
      <c r="E621" s="24"/>
      <c r="F621" s="43"/>
    </row>
    <row r="622" spans="1:6" x14ac:dyDescent="0.25">
      <c r="A622" s="29"/>
      <c r="B622" s="23"/>
      <c r="C622" s="23"/>
      <c r="D622" s="24"/>
      <c r="E622" s="24"/>
      <c r="F622" s="43"/>
    </row>
    <row r="623" spans="1:6" x14ac:dyDescent="0.25">
      <c r="A623" s="29"/>
      <c r="B623" s="23"/>
      <c r="C623" s="23"/>
      <c r="D623" s="24"/>
      <c r="E623" s="24"/>
      <c r="F623" s="43"/>
    </row>
    <row r="624" spans="1:6" x14ac:dyDescent="0.25">
      <c r="A624" s="29"/>
      <c r="B624" s="23"/>
      <c r="C624" s="23"/>
      <c r="D624" s="24"/>
      <c r="E624" s="24"/>
      <c r="F624" s="43"/>
    </row>
    <row r="625" spans="1:6" x14ac:dyDescent="0.25">
      <c r="A625" s="29"/>
      <c r="B625" s="23"/>
      <c r="C625" s="23"/>
      <c r="D625" s="24"/>
      <c r="E625" s="24"/>
      <c r="F625" s="43"/>
    </row>
    <row r="626" spans="1:6" x14ac:dyDescent="0.25">
      <c r="A626" s="29"/>
      <c r="B626" s="23"/>
      <c r="C626" s="23"/>
      <c r="D626" s="24"/>
      <c r="E626" s="24"/>
      <c r="F626" s="43"/>
    </row>
    <row r="627" spans="1:6" x14ac:dyDescent="0.25">
      <c r="A627" s="29"/>
      <c r="B627" s="23"/>
      <c r="C627" s="23"/>
      <c r="D627" s="24"/>
      <c r="E627" s="24"/>
      <c r="F627" s="43"/>
    </row>
    <row r="628" spans="1:6" x14ac:dyDescent="0.25">
      <c r="A628" s="29"/>
      <c r="B628" s="23"/>
      <c r="C628" s="23"/>
      <c r="D628" s="24"/>
      <c r="E628" s="24"/>
      <c r="F628" s="43"/>
    </row>
    <row r="629" spans="1:6" x14ac:dyDescent="0.25">
      <c r="A629" s="29"/>
      <c r="B629" s="23"/>
      <c r="C629" s="23"/>
      <c r="D629" s="24"/>
      <c r="E629" s="24"/>
      <c r="F629" s="43"/>
    </row>
    <row r="630" spans="1:6" x14ac:dyDescent="0.25">
      <c r="A630" s="29"/>
      <c r="B630" s="23"/>
      <c r="C630" s="23"/>
      <c r="D630" s="24"/>
      <c r="E630" s="24"/>
      <c r="F630" s="43"/>
    </row>
    <row r="631" spans="1:6" x14ac:dyDescent="0.25">
      <c r="A631" s="29"/>
      <c r="B631" s="23"/>
      <c r="C631" s="23"/>
      <c r="D631" s="24"/>
      <c r="E631" s="24"/>
      <c r="F631" s="43"/>
    </row>
    <row r="632" spans="1:6" x14ac:dyDescent="0.25">
      <c r="A632" s="29"/>
      <c r="B632" s="23"/>
      <c r="C632" s="23"/>
      <c r="D632" s="24"/>
      <c r="E632" s="24"/>
      <c r="F632" s="43"/>
    </row>
    <row r="633" spans="1:6" x14ac:dyDescent="0.25">
      <c r="A633" s="29"/>
      <c r="B633" s="23"/>
      <c r="C633" s="23"/>
      <c r="D633" s="24"/>
      <c r="E633" s="24"/>
      <c r="F633" s="43"/>
    </row>
    <row r="634" spans="1:6" x14ac:dyDescent="0.25">
      <c r="A634" s="29"/>
      <c r="B634" s="23"/>
      <c r="C634" s="23"/>
      <c r="D634" s="24"/>
      <c r="E634" s="24"/>
      <c r="F634" s="43"/>
    </row>
    <row r="635" spans="1:6" x14ac:dyDescent="0.25">
      <c r="A635" s="29"/>
      <c r="B635" s="23"/>
      <c r="C635" s="23"/>
      <c r="D635" s="24"/>
      <c r="E635" s="24"/>
      <c r="F635" s="43"/>
    </row>
    <row r="636" spans="1:6" x14ac:dyDescent="0.25">
      <c r="A636" s="29"/>
      <c r="B636" s="23"/>
      <c r="C636" s="23"/>
      <c r="D636" s="24"/>
      <c r="E636" s="24"/>
      <c r="F636" s="43"/>
    </row>
    <row r="637" spans="1:6" x14ac:dyDescent="0.25">
      <c r="A637" s="29"/>
      <c r="B637" s="23"/>
      <c r="C637" s="23"/>
      <c r="D637" s="24"/>
      <c r="E637" s="24"/>
      <c r="F637" s="43"/>
    </row>
    <row r="638" spans="1:6" x14ac:dyDescent="0.25">
      <c r="A638" s="29"/>
      <c r="B638" s="23"/>
      <c r="C638" s="23"/>
      <c r="D638" s="24"/>
      <c r="E638" s="24"/>
      <c r="F638" s="43"/>
    </row>
    <row r="639" spans="1:6" x14ac:dyDescent="0.25">
      <c r="A639" s="29"/>
      <c r="B639" s="23"/>
      <c r="C639" s="23"/>
      <c r="D639" s="24"/>
      <c r="E639" s="24"/>
      <c r="F639" s="43"/>
    </row>
    <row r="640" spans="1:6" x14ac:dyDescent="0.25">
      <c r="A640" s="29"/>
      <c r="B640" s="23"/>
      <c r="C640" s="23"/>
      <c r="D640" s="24"/>
      <c r="E640" s="24"/>
      <c r="F640" s="43"/>
    </row>
    <row r="641" spans="1:6" x14ac:dyDescent="0.25">
      <c r="A641" s="29"/>
      <c r="B641" s="23"/>
      <c r="C641" s="23"/>
      <c r="D641" s="24"/>
      <c r="E641" s="24"/>
      <c r="F641" s="43"/>
    </row>
    <row r="642" spans="1:6" x14ac:dyDescent="0.25">
      <c r="A642" s="29"/>
      <c r="B642" s="23"/>
      <c r="C642" s="23"/>
      <c r="D642" s="24"/>
      <c r="E642" s="24"/>
      <c r="F642" s="43"/>
    </row>
    <row r="643" spans="1:6" x14ac:dyDescent="0.25">
      <c r="A643" s="29"/>
      <c r="B643" s="23"/>
      <c r="C643" s="23"/>
      <c r="D643" s="24"/>
      <c r="E643" s="24"/>
      <c r="F643" s="43"/>
    </row>
    <row r="644" spans="1:6" x14ac:dyDescent="0.25">
      <c r="A644" s="29"/>
      <c r="B644" s="23"/>
      <c r="C644" s="23"/>
      <c r="D644" s="24"/>
      <c r="E644" s="24"/>
      <c r="F644" s="43"/>
    </row>
    <row r="645" spans="1:6" x14ac:dyDescent="0.25">
      <c r="A645" s="29"/>
      <c r="B645" s="23"/>
      <c r="C645" s="23"/>
      <c r="D645" s="24"/>
      <c r="E645" s="24"/>
      <c r="F645" s="43"/>
    </row>
    <row r="646" spans="1:6" x14ac:dyDescent="0.25">
      <c r="A646" s="29"/>
      <c r="B646" s="23"/>
      <c r="C646" s="23"/>
      <c r="D646" s="24"/>
      <c r="E646" s="24"/>
      <c r="F646" s="43"/>
    </row>
    <row r="647" spans="1:6" x14ac:dyDescent="0.25">
      <c r="A647" s="29"/>
      <c r="B647" s="23"/>
      <c r="C647" s="23"/>
      <c r="D647" s="24"/>
      <c r="E647" s="24"/>
      <c r="F647" s="43"/>
    </row>
    <row r="648" spans="1:6" x14ac:dyDescent="0.25">
      <c r="A648" s="29"/>
      <c r="B648" s="23"/>
      <c r="C648" s="23"/>
      <c r="D648" s="24"/>
      <c r="E648" s="24"/>
      <c r="F648" s="43"/>
    </row>
    <row r="649" spans="1:6" x14ac:dyDescent="0.25">
      <c r="A649" s="29"/>
      <c r="B649" s="23"/>
      <c r="C649" s="23"/>
      <c r="D649" s="24"/>
      <c r="E649" s="24"/>
      <c r="F649" s="43"/>
    </row>
    <row r="650" spans="1:6" x14ac:dyDescent="0.25">
      <c r="A650" s="29"/>
      <c r="B650" s="23"/>
      <c r="C650" s="23"/>
      <c r="D650" s="24"/>
      <c r="E650" s="24"/>
      <c r="F650" s="43"/>
    </row>
    <row r="651" spans="1:6" x14ac:dyDescent="0.25">
      <c r="A651" s="29"/>
      <c r="B651" s="23"/>
      <c r="C651" s="23"/>
      <c r="D651" s="24"/>
      <c r="E651" s="24"/>
      <c r="F651" s="43"/>
    </row>
    <row r="652" spans="1:6" x14ac:dyDescent="0.25">
      <c r="A652" s="29"/>
      <c r="B652" s="23"/>
      <c r="C652" s="23"/>
      <c r="D652" s="24"/>
      <c r="E652" s="24"/>
      <c r="F652" s="43"/>
    </row>
    <row r="653" spans="1:6" x14ac:dyDescent="0.25">
      <c r="A653" s="29"/>
      <c r="B653" s="23"/>
      <c r="C653" s="23"/>
      <c r="D653" s="24"/>
      <c r="E653" s="24"/>
      <c r="F653" s="43"/>
    </row>
    <row r="654" spans="1:6" x14ac:dyDescent="0.25">
      <c r="A654" s="29"/>
      <c r="B654" s="23"/>
      <c r="C654" s="23"/>
      <c r="D654" s="24"/>
      <c r="E654" s="24"/>
      <c r="F654" s="43"/>
    </row>
    <row r="655" spans="1:6" x14ac:dyDescent="0.25">
      <c r="A655" s="29"/>
      <c r="B655" s="23"/>
      <c r="C655" s="23"/>
      <c r="D655" s="24"/>
      <c r="E655" s="24"/>
      <c r="F655" s="43"/>
    </row>
    <row r="656" spans="1:6" x14ac:dyDescent="0.25">
      <c r="A656" s="29"/>
      <c r="B656" s="23"/>
      <c r="C656" s="23"/>
      <c r="D656" s="24"/>
      <c r="E656" s="24"/>
      <c r="F656" s="43"/>
    </row>
    <row r="657" spans="1:6" x14ac:dyDescent="0.25">
      <c r="A657" s="29"/>
      <c r="B657" s="23"/>
      <c r="C657" s="23"/>
      <c r="D657" s="24"/>
      <c r="E657" s="24"/>
      <c r="F657" s="43"/>
    </row>
    <row r="658" spans="1:6" x14ac:dyDescent="0.25">
      <c r="A658" s="29"/>
      <c r="B658" s="23"/>
      <c r="C658" s="23"/>
      <c r="D658" s="24"/>
      <c r="E658" s="24"/>
      <c r="F658" s="43"/>
    </row>
    <row r="659" spans="1:6" x14ac:dyDescent="0.25">
      <c r="A659" s="29"/>
      <c r="B659" s="23"/>
      <c r="C659" s="23"/>
      <c r="D659" s="24"/>
      <c r="E659" s="24"/>
      <c r="F659" s="43"/>
    </row>
    <row r="660" spans="1:6" x14ac:dyDescent="0.25">
      <c r="A660" s="29"/>
      <c r="B660" s="23"/>
      <c r="C660" s="23"/>
      <c r="D660" s="24"/>
      <c r="E660" s="24"/>
      <c r="F660" s="43"/>
    </row>
    <row r="661" spans="1:6" x14ac:dyDescent="0.25">
      <c r="A661" s="29"/>
      <c r="B661" s="23"/>
      <c r="C661" s="23"/>
      <c r="D661" s="24"/>
      <c r="E661" s="24"/>
      <c r="F661" s="43"/>
    </row>
    <row r="662" spans="1:6" x14ac:dyDescent="0.25">
      <c r="A662" s="29"/>
      <c r="B662" s="23"/>
      <c r="C662" s="23"/>
      <c r="D662" s="24"/>
      <c r="E662" s="24"/>
      <c r="F662" s="43"/>
    </row>
    <row r="663" spans="1:6" x14ac:dyDescent="0.25">
      <c r="A663" s="29"/>
      <c r="B663" s="23"/>
      <c r="C663" s="23"/>
      <c r="D663" s="24"/>
      <c r="E663" s="24"/>
      <c r="F663" s="43"/>
    </row>
    <row r="664" spans="1:6" x14ac:dyDescent="0.25">
      <c r="A664" s="29"/>
      <c r="B664" s="23"/>
      <c r="C664" s="23"/>
      <c r="D664" s="24"/>
      <c r="E664" s="24"/>
      <c r="F664" s="43"/>
    </row>
    <row r="665" spans="1:6" x14ac:dyDescent="0.25">
      <c r="A665" s="29"/>
      <c r="B665" s="23"/>
      <c r="C665" s="23"/>
      <c r="D665" s="24"/>
      <c r="E665" s="24"/>
      <c r="F665" s="43"/>
    </row>
    <row r="666" spans="1:6" x14ac:dyDescent="0.25">
      <c r="A666" s="29"/>
      <c r="B666" s="23"/>
      <c r="C666" s="23"/>
      <c r="D666" s="24"/>
      <c r="E666" s="24"/>
      <c r="F666" s="43"/>
    </row>
    <row r="667" spans="1:6" x14ac:dyDescent="0.25">
      <c r="A667" s="29"/>
      <c r="B667" s="23"/>
      <c r="C667" s="23"/>
      <c r="D667" s="24"/>
      <c r="E667" s="24"/>
      <c r="F667" s="43"/>
    </row>
    <row r="668" spans="1:6" x14ac:dyDescent="0.25">
      <c r="A668" s="29"/>
      <c r="B668" s="23"/>
      <c r="C668" s="23"/>
      <c r="D668" s="24"/>
      <c r="E668" s="24"/>
      <c r="F668" s="43"/>
    </row>
    <row r="669" spans="1:6" x14ac:dyDescent="0.25">
      <c r="A669" s="29"/>
      <c r="B669" s="23"/>
      <c r="C669" s="23"/>
      <c r="D669" s="24"/>
      <c r="E669" s="24"/>
      <c r="F669" s="43"/>
    </row>
    <row r="670" spans="1:6" x14ac:dyDescent="0.25">
      <c r="A670" s="29"/>
      <c r="B670" s="23"/>
      <c r="C670" s="23"/>
      <c r="D670" s="24"/>
      <c r="E670" s="24"/>
      <c r="F670" s="43"/>
    </row>
    <row r="671" spans="1:6" x14ac:dyDescent="0.25">
      <c r="A671" s="29"/>
      <c r="B671" s="23"/>
      <c r="C671" s="23"/>
      <c r="D671" s="24"/>
      <c r="E671" s="24"/>
      <c r="F671" s="43"/>
    </row>
    <row r="672" spans="1:6" x14ac:dyDescent="0.25">
      <c r="A672" s="29"/>
      <c r="B672" s="23"/>
      <c r="C672" s="23"/>
      <c r="D672" s="24"/>
      <c r="E672" s="24"/>
      <c r="F672" s="43"/>
    </row>
    <row r="673" spans="1:6" x14ac:dyDescent="0.25">
      <c r="A673" s="29"/>
      <c r="B673" s="23"/>
      <c r="C673" s="23"/>
      <c r="D673" s="24"/>
      <c r="E673" s="24"/>
      <c r="F673" s="43"/>
    </row>
    <row r="674" spans="1:6" x14ac:dyDescent="0.25">
      <c r="A674" s="29"/>
      <c r="B674" s="23"/>
      <c r="C674" s="23"/>
      <c r="D674" s="24"/>
      <c r="E674" s="24"/>
      <c r="F674" s="43"/>
    </row>
    <row r="675" spans="1:6" x14ac:dyDescent="0.25">
      <c r="A675" s="29"/>
      <c r="B675" s="23"/>
      <c r="C675" s="23"/>
      <c r="D675" s="24"/>
      <c r="E675" s="24"/>
      <c r="F675" s="43"/>
    </row>
    <row r="676" spans="1:6" x14ac:dyDescent="0.25">
      <c r="A676" s="29"/>
      <c r="B676" s="23"/>
      <c r="C676" s="23"/>
      <c r="D676" s="24"/>
      <c r="E676" s="24"/>
      <c r="F676" s="43"/>
    </row>
    <row r="677" spans="1:6" x14ac:dyDescent="0.25">
      <c r="A677" s="29"/>
      <c r="B677" s="23"/>
      <c r="C677" s="23"/>
      <c r="D677" s="24"/>
      <c r="E677" s="24"/>
      <c r="F677" s="43"/>
    </row>
    <row r="678" spans="1:6" x14ac:dyDescent="0.25">
      <c r="A678" s="29"/>
      <c r="B678" s="23"/>
      <c r="C678" s="23"/>
      <c r="D678" s="24"/>
      <c r="E678" s="24"/>
      <c r="F678" s="43"/>
    </row>
    <row r="679" spans="1:6" x14ac:dyDescent="0.25">
      <c r="A679" s="29"/>
      <c r="B679" s="23"/>
      <c r="C679" s="23"/>
      <c r="D679" s="24"/>
      <c r="E679" s="24"/>
      <c r="F679" s="43"/>
    </row>
    <row r="680" spans="1:6" x14ac:dyDescent="0.25">
      <c r="A680" s="29"/>
      <c r="B680" s="23"/>
      <c r="C680" s="23"/>
      <c r="D680" s="24"/>
      <c r="E680" s="24"/>
      <c r="F680" s="43"/>
    </row>
    <row r="681" spans="1:6" x14ac:dyDescent="0.25">
      <c r="A681" s="29"/>
      <c r="B681" s="23"/>
      <c r="C681" s="23"/>
      <c r="D681" s="24"/>
      <c r="E681" s="24"/>
      <c r="F681" s="43"/>
    </row>
    <row r="682" spans="1:6" x14ac:dyDescent="0.25">
      <c r="A682" s="29"/>
      <c r="B682" s="23"/>
      <c r="C682" s="23"/>
      <c r="D682" s="24"/>
      <c r="E682" s="24"/>
      <c r="F682" s="43"/>
    </row>
    <row r="683" spans="1:6" x14ac:dyDescent="0.25">
      <c r="A683" s="29"/>
      <c r="B683" s="23"/>
      <c r="C683" s="23"/>
      <c r="D683" s="24"/>
      <c r="E683" s="24"/>
      <c r="F683" s="43"/>
    </row>
    <row r="684" spans="1:6" x14ac:dyDescent="0.25">
      <c r="A684" s="29"/>
      <c r="B684" s="23"/>
      <c r="C684" s="23"/>
      <c r="D684" s="24"/>
      <c r="E684" s="24"/>
      <c r="F684" s="43"/>
    </row>
    <row r="685" spans="1:6" x14ac:dyDescent="0.25">
      <c r="A685" s="29"/>
      <c r="B685" s="23"/>
      <c r="C685" s="23"/>
      <c r="D685" s="24"/>
      <c r="E685" s="24"/>
      <c r="F685" s="43"/>
    </row>
    <row r="686" spans="1:6" x14ac:dyDescent="0.25">
      <c r="A686" s="29"/>
      <c r="B686" s="23"/>
      <c r="C686" s="23"/>
      <c r="D686" s="24"/>
      <c r="E686" s="24"/>
      <c r="F686" s="43"/>
    </row>
    <row r="687" spans="1:6" x14ac:dyDescent="0.25">
      <c r="A687" s="29"/>
      <c r="B687" s="23"/>
      <c r="C687" s="23"/>
      <c r="D687" s="24"/>
      <c r="E687" s="24"/>
      <c r="F687" s="43"/>
    </row>
    <row r="688" spans="1:6" x14ac:dyDescent="0.25">
      <c r="A688" s="29"/>
      <c r="B688" s="23"/>
      <c r="C688" s="23"/>
      <c r="D688" s="24"/>
      <c r="E688" s="24"/>
      <c r="F688" s="43"/>
    </row>
    <row r="689" spans="1:6" x14ac:dyDescent="0.25">
      <c r="A689" s="29"/>
      <c r="B689" s="23"/>
      <c r="C689" s="23"/>
      <c r="D689" s="24"/>
      <c r="E689" s="24"/>
      <c r="F689" s="43"/>
    </row>
    <row r="690" spans="1:6" x14ac:dyDescent="0.25">
      <c r="A690" s="29"/>
      <c r="B690" s="23"/>
      <c r="C690" s="23"/>
      <c r="D690" s="24"/>
      <c r="E690" s="24"/>
      <c r="F690" s="43"/>
    </row>
    <row r="691" spans="1:6" x14ac:dyDescent="0.25">
      <c r="A691" s="29"/>
      <c r="B691" s="23"/>
      <c r="C691" s="23"/>
      <c r="D691" s="24"/>
      <c r="E691" s="24"/>
      <c r="F691" s="43"/>
    </row>
    <row r="692" spans="1:6" x14ac:dyDescent="0.25">
      <c r="A692" s="29"/>
      <c r="B692" s="23"/>
      <c r="C692" s="23"/>
      <c r="D692" s="24"/>
      <c r="E692" s="24"/>
      <c r="F692" s="43"/>
    </row>
    <row r="693" spans="1:6" x14ac:dyDescent="0.25">
      <c r="A693" s="29"/>
      <c r="B693" s="23"/>
      <c r="C693" s="23"/>
      <c r="D693" s="24"/>
      <c r="E693" s="24"/>
      <c r="F693" s="43"/>
    </row>
    <row r="694" spans="1:6" x14ac:dyDescent="0.25">
      <c r="A694" s="29"/>
      <c r="B694" s="23"/>
      <c r="C694" s="23"/>
      <c r="D694" s="24"/>
      <c r="E694" s="24"/>
      <c r="F694" s="43"/>
    </row>
    <row r="695" spans="1:6" x14ac:dyDescent="0.25">
      <c r="A695" s="29"/>
      <c r="B695" s="23"/>
      <c r="C695" s="23"/>
      <c r="D695" s="24"/>
      <c r="E695" s="24"/>
      <c r="F695" s="43"/>
    </row>
    <row r="696" spans="1:6" x14ac:dyDescent="0.25">
      <c r="A696" s="29"/>
      <c r="B696" s="23"/>
      <c r="C696" s="23"/>
      <c r="D696" s="24"/>
      <c r="E696" s="24"/>
      <c r="F696" s="43"/>
    </row>
    <row r="697" spans="1:6" x14ac:dyDescent="0.25">
      <c r="A697" s="29"/>
      <c r="B697" s="23"/>
      <c r="C697" s="23"/>
      <c r="D697" s="24"/>
      <c r="E697" s="24"/>
      <c r="F697" s="43"/>
    </row>
    <row r="698" spans="1:6" x14ac:dyDescent="0.25">
      <c r="A698" s="29"/>
      <c r="B698" s="23"/>
      <c r="C698" s="23"/>
      <c r="D698" s="24"/>
      <c r="E698" s="24"/>
      <c r="F698" s="43"/>
    </row>
    <row r="699" spans="1:6" x14ac:dyDescent="0.25">
      <c r="A699" s="29"/>
      <c r="B699" s="23"/>
      <c r="C699" s="23"/>
      <c r="D699" s="24"/>
      <c r="E699" s="24"/>
      <c r="F699" s="43"/>
    </row>
    <row r="700" spans="1:6" x14ac:dyDescent="0.25">
      <c r="A700" s="29"/>
      <c r="B700" s="23"/>
      <c r="C700" s="23"/>
      <c r="D700" s="24"/>
      <c r="E700" s="24"/>
      <c r="F700" s="43"/>
    </row>
    <row r="701" spans="1:6" x14ac:dyDescent="0.25">
      <c r="A701" s="29"/>
      <c r="B701" s="23"/>
      <c r="C701" s="23"/>
      <c r="D701" s="24"/>
      <c r="E701" s="24"/>
      <c r="F701" s="43"/>
    </row>
    <row r="702" spans="1:6" x14ac:dyDescent="0.25">
      <c r="A702" s="29"/>
      <c r="B702" s="23"/>
      <c r="C702" s="23"/>
      <c r="D702" s="24"/>
      <c r="E702" s="24"/>
      <c r="F702" s="43"/>
    </row>
    <row r="703" spans="1:6" x14ac:dyDescent="0.25">
      <c r="A703" s="29"/>
      <c r="B703" s="23"/>
      <c r="C703" s="23"/>
      <c r="D703" s="24"/>
      <c r="E703" s="24"/>
      <c r="F703" s="43"/>
    </row>
    <row r="704" spans="1:6" x14ac:dyDescent="0.25">
      <c r="A704" s="29"/>
      <c r="B704" s="23"/>
      <c r="C704" s="23"/>
      <c r="D704" s="24"/>
      <c r="E704" s="24"/>
      <c r="F704" s="43"/>
    </row>
    <row r="705" spans="1:6" x14ac:dyDescent="0.25">
      <c r="A705" s="29"/>
      <c r="B705" s="23"/>
      <c r="C705" s="23"/>
      <c r="D705" s="24"/>
      <c r="E705" s="24"/>
      <c r="F705" s="43"/>
    </row>
    <row r="706" spans="1:6" x14ac:dyDescent="0.25">
      <c r="A706" s="29"/>
      <c r="B706" s="23"/>
      <c r="C706" s="23"/>
      <c r="D706" s="24"/>
      <c r="E706" s="24"/>
      <c r="F706" s="43"/>
    </row>
    <row r="707" spans="1:6" x14ac:dyDescent="0.25">
      <c r="A707" s="29"/>
      <c r="B707" s="23"/>
      <c r="C707" s="23"/>
      <c r="D707" s="24"/>
      <c r="E707" s="24"/>
      <c r="F707" s="43"/>
    </row>
    <row r="708" spans="1:6" x14ac:dyDescent="0.25">
      <c r="A708" s="29"/>
      <c r="B708" s="23"/>
      <c r="C708" s="23"/>
      <c r="D708" s="24"/>
      <c r="E708" s="24"/>
      <c r="F708" s="43"/>
    </row>
    <row r="709" spans="1:6" x14ac:dyDescent="0.25">
      <c r="A709" s="29"/>
      <c r="B709" s="23"/>
      <c r="C709" s="23"/>
      <c r="D709" s="24"/>
      <c r="E709" s="24"/>
      <c r="F709" s="43"/>
    </row>
    <row r="710" spans="1:6" x14ac:dyDescent="0.25">
      <c r="A710" s="29"/>
      <c r="B710" s="23"/>
      <c r="C710" s="23"/>
      <c r="D710" s="24"/>
      <c r="E710" s="24"/>
      <c r="F710" s="43"/>
    </row>
    <row r="711" spans="1:6" x14ac:dyDescent="0.25">
      <c r="A711" s="29"/>
      <c r="B711" s="23"/>
      <c r="C711" s="23"/>
      <c r="D711" s="24"/>
      <c r="E711" s="24"/>
      <c r="F711" s="43"/>
    </row>
    <row r="712" spans="1:6" x14ac:dyDescent="0.25">
      <c r="A712" s="29"/>
      <c r="B712" s="23"/>
      <c r="C712" s="23"/>
      <c r="D712" s="24"/>
      <c r="E712" s="24"/>
      <c r="F712" s="43"/>
    </row>
    <row r="713" spans="1:6" x14ac:dyDescent="0.25">
      <c r="A713" s="29"/>
      <c r="B713" s="23"/>
      <c r="C713" s="23"/>
      <c r="D713" s="24"/>
      <c r="E713" s="24"/>
      <c r="F713" s="43"/>
    </row>
    <row r="714" spans="1:6" x14ac:dyDescent="0.25">
      <c r="A714" s="29"/>
      <c r="B714" s="23"/>
      <c r="C714" s="23"/>
      <c r="D714" s="24"/>
      <c r="E714" s="24"/>
      <c r="F714" s="43"/>
    </row>
    <row r="715" spans="1:6" x14ac:dyDescent="0.25">
      <c r="A715" s="29"/>
      <c r="B715" s="23"/>
      <c r="C715" s="23"/>
      <c r="D715" s="24"/>
      <c r="E715" s="24"/>
      <c r="F715" s="43"/>
    </row>
    <row r="716" spans="1:6" x14ac:dyDescent="0.25">
      <c r="A716" s="29"/>
      <c r="B716" s="23"/>
      <c r="C716" s="23"/>
      <c r="D716" s="24"/>
      <c r="E716" s="24"/>
      <c r="F716" s="43"/>
    </row>
    <row r="717" spans="1:6" x14ac:dyDescent="0.25">
      <c r="A717" s="29"/>
      <c r="B717" s="23"/>
      <c r="C717" s="23"/>
      <c r="D717" s="24"/>
      <c r="E717" s="24"/>
      <c r="F717" s="43"/>
    </row>
    <row r="718" spans="1:6" x14ac:dyDescent="0.25">
      <c r="A718" s="29"/>
      <c r="B718" s="23"/>
      <c r="C718" s="23"/>
      <c r="D718" s="24"/>
      <c r="E718" s="24"/>
      <c r="F718" s="43"/>
    </row>
    <row r="719" spans="1:6" x14ac:dyDescent="0.25">
      <c r="A719" s="29"/>
      <c r="B719" s="23"/>
      <c r="C719" s="23"/>
      <c r="D719" s="24"/>
      <c r="E719" s="24"/>
      <c r="F719" s="43"/>
    </row>
    <row r="720" spans="1:6" x14ac:dyDescent="0.25">
      <c r="A720" s="29"/>
      <c r="B720" s="23"/>
      <c r="C720" s="23"/>
      <c r="D720" s="24"/>
      <c r="E720" s="24"/>
      <c r="F720" s="43"/>
    </row>
    <row r="721" spans="1:6" x14ac:dyDescent="0.25">
      <c r="A721" s="29"/>
      <c r="B721" s="23"/>
      <c r="C721" s="23"/>
      <c r="D721" s="24"/>
      <c r="E721" s="24"/>
      <c r="F721" s="43"/>
    </row>
    <row r="722" spans="1:6" x14ac:dyDescent="0.25">
      <c r="A722" s="29"/>
      <c r="B722" s="23"/>
      <c r="C722" s="23"/>
      <c r="D722" s="24"/>
      <c r="E722" s="24"/>
      <c r="F722" s="43"/>
    </row>
    <row r="723" spans="1:6" x14ac:dyDescent="0.25">
      <c r="A723" s="29"/>
      <c r="B723" s="23"/>
      <c r="C723" s="23"/>
      <c r="D723" s="24"/>
      <c r="E723" s="24"/>
      <c r="F723" s="43"/>
    </row>
    <row r="724" spans="1:6" x14ac:dyDescent="0.25">
      <c r="A724" s="29"/>
      <c r="B724" s="23"/>
      <c r="C724" s="23"/>
      <c r="D724" s="24"/>
      <c r="E724" s="24"/>
      <c r="F724" s="43"/>
    </row>
    <row r="725" spans="1:6" x14ac:dyDescent="0.25">
      <c r="A725" s="29"/>
      <c r="B725" s="23"/>
      <c r="C725" s="23"/>
      <c r="D725" s="24"/>
      <c r="E725" s="24"/>
      <c r="F725" s="43"/>
    </row>
    <row r="726" spans="1:6" x14ac:dyDescent="0.25">
      <c r="A726" s="29"/>
      <c r="B726" s="23"/>
      <c r="C726" s="23"/>
      <c r="D726" s="24"/>
      <c r="E726" s="24"/>
      <c r="F726" s="43"/>
    </row>
    <row r="727" spans="1:6" x14ac:dyDescent="0.25">
      <c r="A727" s="29"/>
      <c r="B727" s="23"/>
      <c r="C727" s="23"/>
      <c r="D727" s="24"/>
      <c r="E727" s="24"/>
      <c r="F727" s="43"/>
    </row>
    <row r="728" spans="1:6" x14ac:dyDescent="0.25">
      <c r="A728" s="29"/>
      <c r="B728" s="23"/>
      <c r="C728" s="23"/>
      <c r="D728" s="24"/>
      <c r="E728" s="24"/>
      <c r="F728" s="43"/>
    </row>
    <row r="729" spans="1:6" x14ac:dyDescent="0.25">
      <c r="A729" s="29"/>
      <c r="B729" s="23"/>
      <c r="C729" s="23"/>
      <c r="D729" s="24"/>
      <c r="E729" s="24"/>
      <c r="F729" s="43"/>
    </row>
    <row r="730" spans="1:6" x14ac:dyDescent="0.25">
      <c r="A730" s="29"/>
      <c r="B730" s="23"/>
      <c r="C730" s="23"/>
      <c r="D730" s="24"/>
      <c r="E730" s="24"/>
      <c r="F730" s="43"/>
    </row>
    <row r="731" spans="1:6" x14ac:dyDescent="0.25">
      <c r="A731" s="29"/>
      <c r="B731" s="23"/>
      <c r="C731" s="23"/>
      <c r="D731" s="24"/>
      <c r="E731" s="24"/>
      <c r="F731" s="43"/>
    </row>
    <row r="732" spans="1:6" x14ac:dyDescent="0.25">
      <c r="A732" s="29"/>
      <c r="B732" s="23"/>
      <c r="C732" s="23"/>
      <c r="D732" s="24"/>
      <c r="E732" s="24"/>
      <c r="F732" s="43"/>
    </row>
    <row r="733" spans="1:6" x14ac:dyDescent="0.25">
      <c r="A733" s="29"/>
      <c r="B733" s="23"/>
      <c r="C733" s="23"/>
      <c r="D733" s="24"/>
      <c r="E733" s="24"/>
      <c r="F733" s="43"/>
    </row>
    <row r="734" spans="1:6" x14ac:dyDescent="0.25">
      <c r="A734" s="29"/>
      <c r="B734" s="23"/>
      <c r="C734" s="23"/>
      <c r="D734" s="24"/>
      <c r="E734" s="24"/>
      <c r="F734" s="43"/>
    </row>
    <row r="735" spans="1:6" x14ac:dyDescent="0.25">
      <c r="A735" s="29"/>
      <c r="B735" s="23"/>
      <c r="C735" s="23"/>
      <c r="D735" s="24"/>
      <c r="E735" s="24"/>
      <c r="F735" s="43"/>
    </row>
    <row r="736" spans="1:6" x14ac:dyDescent="0.25">
      <c r="A736" s="29"/>
      <c r="B736" s="23"/>
      <c r="C736" s="23"/>
      <c r="D736" s="24"/>
      <c r="E736" s="24"/>
      <c r="F736" s="43"/>
    </row>
    <row r="737" spans="1:6" x14ac:dyDescent="0.25">
      <c r="A737" s="29"/>
      <c r="B737" s="23"/>
      <c r="C737" s="23"/>
      <c r="D737" s="24"/>
      <c r="E737" s="24"/>
      <c r="F737" s="43"/>
    </row>
    <row r="738" spans="1:6" x14ac:dyDescent="0.25">
      <c r="A738" s="29"/>
      <c r="B738" s="23"/>
      <c r="C738" s="23"/>
      <c r="D738" s="24"/>
      <c r="E738" s="24"/>
      <c r="F738" s="43"/>
    </row>
    <row r="739" spans="1:6" x14ac:dyDescent="0.25">
      <c r="A739" s="29"/>
      <c r="B739" s="23"/>
      <c r="C739" s="23"/>
      <c r="D739" s="24"/>
      <c r="E739" s="24"/>
      <c r="F739" s="43"/>
    </row>
    <row r="740" spans="1:6" x14ac:dyDescent="0.25">
      <c r="A740" s="29"/>
      <c r="B740" s="23"/>
      <c r="C740" s="23"/>
      <c r="D740" s="24"/>
      <c r="E740" s="24"/>
      <c r="F740" s="43"/>
    </row>
    <row r="741" spans="1:6" x14ac:dyDescent="0.25">
      <c r="A741" s="29"/>
      <c r="B741" s="23"/>
      <c r="C741" s="23"/>
      <c r="D741" s="24"/>
      <c r="E741" s="24"/>
      <c r="F741" s="43"/>
    </row>
    <row r="742" spans="1:6" x14ac:dyDescent="0.25">
      <c r="A742" s="29"/>
      <c r="B742" s="23"/>
      <c r="C742" s="23"/>
      <c r="D742" s="24"/>
      <c r="E742" s="24"/>
      <c r="F742" s="43"/>
    </row>
    <row r="743" spans="1:6" x14ac:dyDescent="0.25">
      <c r="A743" s="29"/>
      <c r="B743" s="23"/>
      <c r="C743" s="23"/>
      <c r="D743" s="24"/>
      <c r="E743" s="24"/>
      <c r="F743" s="43"/>
    </row>
    <row r="744" spans="1:6" x14ac:dyDescent="0.25">
      <c r="A744" s="29"/>
      <c r="B744" s="23"/>
      <c r="C744" s="23"/>
      <c r="D744" s="24"/>
      <c r="E744" s="24"/>
      <c r="F744" s="43"/>
    </row>
    <row r="745" spans="1:6" x14ac:dyDescent="0.25">
      <c r="A745" s="29"/>
      <c r="B745" s="23"/>
      <c r="C745" s="23"/>
      <c r="D745" s="24"/>
      <c r="E745" s="24"/>
      <c r="F745" s="43"/>
    </row>
    <row r="746" spans="1:6" x14ac:dyDescent="0.25">
      <c r="A746" s="29"/>
      <c r="B746" s="23"/>
      <c r="C746" s="23"/>
      <c r="D746" s="24"/>
      <c r="E746" s="24"/>
      <c r="F746" s="43"/>
    </row>
    <row r="747" spans="1:6" x14ac:dyDescent="0.25">
      <c r="A747" s="29"/>
      <c r="B747" s="23"/>
      <c r="C747" s="23"/>
      <c r="D747" s="24"/>
      <c r="E747" s="24"/>
      <c r="F747" s="43"/>
    </row>
    <row r="748" spans="1:6" x14ac:dyDescent="0.25">
      <c r="A748" s="29"/>
      <c r="B748" s="23"/>
      <c r="C748" s="23"/>
      <c r="D748" s="24"/>
      <c r="E748" s="24"/>
      <c r="F748" s="43"/>
    </row>
    <row r="749" spans="1:6" x14ac:dyDescent="0.25">
      <c r="A749" s="29"/>
      <c r="B749" s="23"/>
      <c r="C749" s="23"/>
      <c r="D749" s="24"/>
      <c r="E749" s="24"/>
      <c r="F749" s="43"/>
    </row>
    <row r="750" spans="1:6" x14ac:dyDescent="0.25">
      <c r="A750" s="29"/>
      <c r="B750" s="23"/>
      <c r="C750" s="23"/>
      <c r="D750" s="24"/>
      <c r="E750" s="24"/>
      <c r="F750" s="43"/>
    </row>
    <row r="751" spans="1:6" x14ac:dyDescent="0.25">
      <c r="A751" s="29"/>
      <c r="B751" s="23"/>
      <c r="C751" s="23"/>
      <c r="D751" s="24"/>
      <c r="E751" s="24"/>
      <c r="F751" s="43"/>
    </row>
    <row r="752" spans="1:6" x14ac:dyDescent="0.25">
      <c r="A752" s="29"/>
      <c r="B752" s="23"/>
      <c r="C752" s="23"/>
      <c r="D752" s="24"/>
      <c r="E752" s="24"/>
      <c r="F752" s="43"/>
    </row>
    <row r="753" spans="1:6" x14ac:dyDescent="0.25">
      <c r="A753" s="29"/>
      <c r="B753" s="23"/>
      <c r="C753" s="23"/>
      <c r="D753" s="24"/>
      <c r="E753" s="24"/>
      <c r="F753" s="43"/>
    </row>
    <row r="754" spans="1:6" x14ac:dyDescent="0.25">
      <c r="A754" s="29"/>
      <c r="B754" s="23"/>
      <c r="C754" s="23"/>
      <c r="D754" s="24"/>
      <c r="E754" s="24"/>
      <c r="F754" s="43"/>
    </row>
    <row r="755" spans="1:6" x14ac:dyDescent="0.25">
      <c r="A755" s="29"/>
      <c r="B755" s="23"/>
      <c r="C755" s="23"/>
      <c r="D755" s="24"/>
      <c r="E755" s="24"/>
      <c r="F755" s="43"/>
    </row>
    <row r="756" spans="1:6" x14ac:dyDescent="0.25">
      <c r="A756" s="29"/>
      <c r="B756" s="23"/>
      <c r="C756" s="23"/>
      <c r="D756" s="24"/>
      <c r="E756" s="24"/>
      <c r="F756" s="43"/>
    </row>
    <row r="757" spans="1:6" x14ac:dyDescent="0.25">
      <c r="A757" s="29"/>
      <c r="B757" s="23"/>
      <c r="C757" s="23"/>
      <c r="D757" s="24"/>
      <c r="E757" s="24"/>
      <c r="F757" s="43"/>
    </row>
    <row r="758" spans="1:6" x14ac:dyDescent="0.25">
      <c r="A758" s="29"/>
      <c r="B758" s="23"/>
      <c r="C758" s="23"/>
      <c r="D758" s="24"/>
      <c r="E758" s="24"/>
      <c r="F758" s="43"/>
    </row>
    <row r="759" spans="1:6" x14ac:dyDescent="0.25">
      <c r="A759" s="29"/>
      <c r="B759" s="23"/>
      <c r="C759" s="23"/>
      <c r="D759" s="24"/>
      <c r="E759" s="24"/>
      <c r="F759" s="43"/>
    </row>
    <row r="760" spans="1:6" x14ac:dyDescent="0.25">
      <c r="A760" s="29"/>
      <c r="B760" s="23"/>
      <c r="C760" s="23"/>
      <c r="D760" s="24"/>
      <c r="E760" s="24"/>
      <c r="F760" s="43"/>
    </row>
    <row r="761" spans="1:6" x14ac:dyDescent="0.25">
      <c r="A761" s="29"/>
      <c r="B761" s="23"/>
      <c r="C761" s="23"/>
      <c r="D761" s="24"/>
      <c r="E761" s="24"/>
      <c r="F761" s="43"/>
    </row>
    <row r="762" spans="1:6" x14ac:dyDescent="0.25">
      <c r="A762" s="29"/>
      <c r="B762" s="23"/>
      <c r="C762" s="23"/>
      <c r="D762" s="24"/>
      <c r="E762" s="24"/>
      <c r="F762" s="43"/>
    </row>
    <row r="763" spans="1:6" x14ac:dyDescent="0.25">
      <c r="A763" s="29"/>
      <c r="B763" s="23"/>
      <c r="C763" s="23"/>
      <c r="D763" s="24"/>
      <c r="E763" s="24"/>
      <c r="F763" s="43"/>
    </row>
    <row r="764" spans="1:6" x14ac:dyDescent="0.25">
      <c r="A764" s="29"/>
      <c r="B764" s="23"/>
      <c r="C764" s="23"/>
      <c r="D764" s="24"/>
      <c r="E764" s="24"/>
      <c r="F764" s="43"/>
    </row>
    <row r="765" spans="1:6" x14ac:dyDescent="0.25">
      <c r="A765" s="29"/>
      <c r="B765" s="23"/>
      <c r="C765" s="23"/>
      <c r="D765" s="24"/>
      <c r="E765" s="24"/>
      <c r="F765" s="43"/>
    </row>
    <row r="766" spans="1:6" x14ac:dyDescent="0.25">
      <c r="A766" s="29"/>
      <c r="B766" s="23"/>
      <c r="C766" s="23"/>
      <c r="D766" s="24"/>
      <c r="E766" s="24"/>
      <c r="F766" s="43"/>
    </row>
    <row r="767" spans="1:6" x14ac:dyDescent="0.25">
      <c r="A767" s="29"/>
      <c r="B767" s="23"/>
      <c r="C767" s="23"/>
      <c r="D767" s="24"/>
      <c r="E767" s="24"/>
      <c r="F767" s="43"/>
    </row>
    <row r="768" spans="1:6" x14ac:dyDescent="0.25">
      <c r="A768" s="29"/>
      <c r="B768" s="23"/>
      <c r="C768" s="23"/>
      <c r="D768" s="24"/>
      <c r="E768" s="24"/>
      <c r="F768" s="43"/>
    </row>
    <row r="769" spans="1:6" x14ac:dyDescent="0.25">
      <c r="A769" s="29"/>
      <c r="B769" s="23"/>
      <c r="C769" s="23"/>
      <c r="D769" s="24"/>
      <c r="E769" s="24"/>
      <c r="F769" s="43"/>
    </row>
    <row r="770" spans="1:6" x14ac:dyDescent="0.25">
      <c r="A770" s="29"/>
      <c r="B770" s="23"/>
      <c r="C770" s="23"/>
      <c r="D770" s="24"/>
      <c r="E770" s="24"/>
      <c r="F770" s="43"/>
    </row>
    <row r="771" spans="1:6" x14ac:dyDescent="0.25">
      <c r="A771" s="29"/>
      <c r="B771" s="23"/>
      <c r="C771" s="23"/>
      <c r="D771" s="24"/>
      <c r="E771" s="24"/>
      <c r="F771" s="43"/>
    </row>
    <row r="772" spans="1:6" x14ac:dyDescent="0.25">
      <c r="A772" s="29"/>
      <c r="B772" s="23"/>
      <c r="C772" s="23"/>
      <c r="D772" s="24"/>
      <c r="E772" s="24"/>
      <c r="F772" s="43"/>
    </row>
    <row r="773" spans="1:6" x14ac:dyDescent="0.25">
      <c r="A773" s="29"/>
      <c r="B773" s="23"/>
      <c r="C773" s="23"/>
      <c r="D773" s="24"/>
      <c r="E773" s="24"/>
      <c r="F773" s="43"/>
    </row>
    <row r="774" spans="1:6" x14ac:dyDescent="0.25">
      <c r="A774" s="29"/>
      <c r="B774" s="23"/>
      <c r="C774" s="23"/>
      <c r="D774" s="24"/>
      <c r="E774" s="24"/>
      <c r="F774" s="43"/>
    </row>
    <row r="775" spans="1:6" x14ac:dyDescent="0.25">
      <c r="A775" s="29"/>
      <c r="B775" s="23"/>
      <c r="C775" s="23"/>
      <c r="D775" s="24"/>
      <c r="E775" s="24"/>
      <c r="F775" s="43"/>
    </row>
    <row r="776" spans="1:6" x14ac:dyDescent="0.25">
      <c r="A776" s="29"/>
      <c r="B776" s="23"/>
      <c r="C776" s="23"/>
      <c r="D776" s="24"/>
      <c r="E776" s="24"/>
      <c r="F776" s="43"/>
    </row>
    <row r="777" spans="1:6" x14ac:dyDescent="0.25">
      <c r="A777" s="29"/>
      <c r="B777" s="23"/>
      <c r="C777" s="23"/>
      <c r="D777" s="24"/>
      <c r="E777" s="24"/>
      <c r="F777" s="43"/>
    </row>
    <row r="778" spans="1:6" x14ac:dyDescent="0.25">
      <c r="A778" s="29"/>
      <c r="B778" s="23"/>
      <c r="C778" s="23"/>
      <c r="D778" s="24"/>
      <c r="E778" s="24"/>
      <c r="F778" s="43"/>
    </row>
    <row r="779" spans="1:6" x14ac:dyDescent="0.25">
      <c r="A779" s="29"/>
      <c r="B779" s="23"/>
      <c r="C779" s="23"/>
      <c r="D779" s="24"/>
      <c r="E779" s="24"/>
      <c r="F779" s="43"/>
    </row>
    <row r="780" spans="1:6" x14ac:dyDescent="0.25">
      <c r="A780" s="29"/>
      <c r="B780" s="23"/>
      <c r="C780" s="23"/>
      <c r="D780" s="24"/>
      <c r="E780" s="24"/>
      <c r="F780" s="43"/>
    </row>
    <row r="781" spans="1:6" x14ac:dyDescent="0.25">
      <c r="A781" s="29"/>
      <c r="B781" s="23"/>
      <c r="C781" s="23"/>
      <c r="D781" s="24"/>
      <c r="E781" s="24"/>
      <c r="F781" s="43"/>
    </row>
    <row r="782" spans="1:6" x14ac:dyDescent="0.25">
      <c r="A782" s="29"/>
      <c r="B782" s="23"/>
      <c r="C782" s="23"/>
      <c r="D782" s="24"/>
      <c r="E782" s="24"/>
      <c r="F782" s="43"/>
    </row>
    <row r="783" spans="1:6" x14ac:dyDescent="0.25">
      <c r="A783" s="29"/>
      <c r="B783" s="23"/>
      <c r="C783" s="23"/>
      <c r="D783" s="24"/>
      <c r="E783" s="24"/>
      <c r="F783" s="43"/>
    </row>
    <row r="784" spans="1:6" x14ac:dyDescent="0.25">
      <c r="A784" s="29"/>
      <c r="B784" s="23"/>
      <c r="C784" s="23"/>
      <c r="D784" s="24"/>
      <c r="E784" s="24"/>
      <c r="F784" s="43"/>
    </row>
    <row r="785" spans="1:6" x14ac:dyDescent="0.25">
      <c r="A785" s="29"/>
      <c r="B785" s="23"/>
      <c r="C785" s="23"/>
      <c r="D785" s="24"/>
      <c r="E785" s="24"/>
      <c r="F785" s="43"/>
    </row>
    <row r="786" spans="1:6" x14ac:dyDescent="0.25">
      <c r="A786" s="29"/>
      <c r="B786" s="23"/>
      <c r="C786" s="23"/>
      <c r="D786" s="24"/>
      <c r="E786" s="24"/>
      <c r="F786" s="43"/>
    </row>
    <row r="787" spans="1:6" x14ac:dyDescent="0.25">
      <c r="A787" s="29"/>
      <c r="B787" s="23"/>
      <c r="C787" s="23"/>
      <c r="D787" s="24"/>
      <c r="E787" s="24"/>
      <c r="F787" s="43"/>
    </row>
    <row r="788" spans="1:6" x14ac:dyDescent="0.25">
      <c r="A788" s="29"/>
      <c r="B788" s="23"/>
      <c r="C788" s="23"/>
      <c r="D788" s="24"/>
      <c r="E788" s="24"/>
      <c r="F788" s="43"/>
    </row>
    <row r="789" spans="1:6" x14ac:dyDescent="0.25">
      <c r="A789" s="29"/>
      <c r="B789" s="23"/>
      <c r="C789" s="23"/>
      <c r="D789" s="24"/>
      <c r="E789" s="24"/>
      <c r="F789" s="43"/>
    </row>
    <row r="790" spans="1:6" x14ac:dyDescent="0.25">
      <c r="A790" s="29"/>
      <c r="B790" s="23"/>
      <c r="C790" s="23"/>
      <c r="D790" s="24"/>
      <c r="E790" s="24"/>
      <c r="F790" s="43"/>
    </row>
    <row r="791" spans="1:6" x14ac:dyDescent="0.25">
      <c r="A791" s="29"/>
      <c r="B791" s="23"/>
      <c r="C791" s="23"/>
      <c r="D791" s="24"/>
      <c r="E791" s="24"/>
      <c r="F791" s="43"/>
    </row>
    <row r="792" spans="1:6" x14ac:dyDescent="0.25">
      <c r="A792" s="29"/>
      <c r="B792" s="23"/>
      <c r="C792" s="23"/>
      <c r="D792" s="24"/>
      <c r="E792" s="24"/>
      <c r="F792" s="43"/>
    </row>
    <row r="793" spans="1:6" x14ac:dyDescent="0.25">
      <c r="A793" s="29"/>
      <c r="B793" s="23"/>
      <c r="C793" s="23"/>
      <c r="D793" s="24"/>
      <c r="E793" s="24"/>
      <c r="F793" s="43"/>
    </row>
    <row r="794" spans="1:6" x14ac:dyDescent="0.25">
      <c r="A794" s="29"/>
      <c r="B794" s="23"/>
      <c r="C794" s="23"/>
      <c r="D794" s="24"/>
      <c r="E794" s="24"/>
      <c r="F794" s="43"/>
    </row>
    <row r="795" spans="1:6" x14ac:dyDescent="0.25">
      <c r="A795" s="29"/>
      <c r="B795" s="23"/>
      <c r="C795" s="23"/>
      <c r="D795" s="24"/>
      <c r="E795" s="24"/>
      <c r="F795" s="43"/>
    </row>
    <row r="796" spans="1:6" x14ac:dyDescent="0.25">
      <c r="A796" s="29"/>
      <c r="B796" s="23"/>
      <c r="C796" s="23"/>
      <c r="D796" s="24"/>
      <c r="E796" s="24"/>
      <c r="F796" s="43"/>
    </row>
    <row r="797" spans="1:6" x14ac:dyDescent="0.25">
      <c r="A797" s="29"/>
      <c r="B797" s="23"/>
      <c r="C797" s="23"/>
      <c r="D797" s="24"/>
      <c r="E797" s="24"/>
      <c r="F797" s="43"/>
    </row>
    <row r="798" spans="1:6" x14ac:dyDescent="0.25">
      <c r="A798" s="29"/>
      <c r="B798" s="23"/>
      <c r="C798" s="23"/>
      <c r="D798" s="24"/>
      <c r="E798" s="24"/>
      <c r="F798" s="43"/>
    </row>
    <row r="799" spans="1:6" x14ac:dyDescent="0.25">
      <c r="A799" s="29"/>
      <c r="B799" s="23"/>
      <c r="C799" s="23"/>
      <c r="D799" s="24"/>
      <c r="E799" s="24"/>
      <c r="F799" s="43"/>
    </row>
    <row r="800" spans="1:6" x14ac:dyDescent="0.25">
      <c r="A800" s="29"/>
      <c r="B800" s="23"/>
      <c r="C800" s="23"/>
      <c r="D800" s="24"/>
      <c r="E800" s="24"/>
      <c r="F800" s="43"/>
    </row>
    <row r="801" spans="1:6" x14ac:dyDescent="0.25">
      <c r="A801" s="29"/>
      <c r="B801" s="23"/>
      <c r="C801" s="23"/>
      <c r="D801" s="24"/>
      <c r="E801" s="24"/>
      <c r="F801" s="43"/>
    </row>
    <row r="802" spans="1:6" x14ac:dyDescent="0.25">
      <c r="A802" s="29"/>
      <c r="B802" s="23"/>
      <c r="C802" s="23"/>
      <c r="D802" s="24"/>
      <c r="E802" s="24"/>
      <c r="F802" s="43"/>
    </row>
    <row r="803" spans="1:6" x14ac:dyDescent="0.25">
      <c r="A803" s="29"/>
      <c r="B803" s="23"/>
      <c r="C803" s="23"/>
      <c r="D803" s="24"/>
      <c r="E803" s="24"/>
      <c r="F803" s="43"/>
    </row>
    <row r="804" spans="1:6" x14ac:dyDescent="0.25">
      <c r="A804" s="29"/>
      <c r="B804" s="23"/>
      <c r="C804" s="23"/>
      <c r="D804" s="24"/>
      <c r="E804" s="24"/>
      <c r="F804" s="43"/>
    </row>
    <row r="805" spans="1:6" x14ac:dyDescent="0.25">
      <c r="A805" s="29"/>
      <c r="B805" s="23"/>
      <c r="C805" s="23"/>
      <c r="D805" s="24"/>
      <c r="E805" s="24"/>
      <c r="F805" s="43"/>
    </row>
    <row r="806" spans="1:6" x14ac:dyDescent="0.25">
      <c r="A806" s="29"/>
      <c r="B806" s="23"/>
      <c r="C806" s="23"/>
      <c r="D806" s="24"/>
      <c r="E806" s="24"/>
      <c r="F806" s="43"/>
    </row>
    <row r="807" spans="1:6" x14ac:dyDescent="0.25">
      <c r="A807" s="29"/>
      <c r="B807" s="23"/>
      <c r="C807" s="23"/>
      <c r="D807" s="24"/>
      <c r="E807" s="24"/>
      <c r="F807" s="43"/>
    </row>
    <row r="808" spans="1:6" x14ac:dyDescent="0.25">
      <c r="A808" s="29"/>
      <c r="B808" s="23"/>
      <c r="C808" s="23"/>
      <c r="D808" s="24"/>
      <c r="E808" s="24"/>
      <c r="F808" s="43"/>
    </row>
    <row r="809" spans="1:6" x14ac:dyDescent="0.25">
      <c r="A809" s="29"/>
      <c r="B809" s="23"/>
      <c r="C809" s="23"/>
      <c r="D809" s="24"/>
      <c r="E809" s="24"/>
      <c r="F809" s="43"/>
    </row>
    <row r="810" spans="1:6" x14ac:dyDescent="0.25">
      <c r="A810" s="29"/>
      <c r="B810" s="23"/>
      <c r="C810" s="23"/>
      <c r="D810" s="24"/>
      <c r="E810" s="24"/>
      <c r="F810" s="43"/>
    </row>
    <row r="811" spans="1:6" x14ac:dyDescent="0.25">
      <c r="A811" s="29"/>
      <c r="B811" s="23"/>
      <c r="C811" s="23"/>
      <c r="D811" s="24"/>
      <c r="E811" s="24"/>
      <c r="F811" s="43"/>
    </row>
    <row r="812" spans="1:6" x14ac:dyDescent="0.25">
      <c r="A812" s="29"/>
      <c r="B812" s="23"/>
      <c r="C812" s="23"/>
      <c r="D812" s="24"/>
      <c r="E812" s="24"/>
      <c r="F812" s="43"/>
    </row>
    <row r="813" spans="1:6" x14ac:dyDescent="0.25">
      <c r="A813" s="29"/>
      <c r="B813" s="23"/>
      <c r="C813" s="23"/>
      <c r="D813" s="24"/>
      <c r="E813" s="24"/>
      <c r="F813" s="43"/>
    </row>
    <row r="814" spans="1:6" x14ac:dyDescent="0.25">
      <c r="A814" s="29"/>
      <c r="B814" s="23"/>
      <c r="C814" s="23"/>
      <c r="D814" s="24"/>
      <c r="E814" s="24"/>
      <c r="F814" s="43"/>
    </row>
    <row r="815" spans="1:6" x14ac:dyDescent="0.25">
      <c r="A815" s="29"/>
      <c r="B815" s="23"/>
      <c r="C815" s="23"/>
      <c r="D815" s="24"/>
      <c r="E815" s="24"/>
      <c r="F815" s="43"/>
    </row>
    <row r="816" spans="1:6" x14ac:dyDescent="0.25">
      <c r="A816" s="29"/>
      <c r="B816" s="23"/>
      <c r="C816" s="23"/>
      <c r="D816" s="24"/>
      <c r="E816" s="24"/>
      <c r="F816" s="43"/>
    </row>
    <row r="817" spans="1:6" x14ac:dyDescent="0.25">
      <c r="A817" s="29"/>
      <c r="B817" s="23"/>
      <c r="C817" s="23"/>
      <c r="D817" s="24"/>
      <c r="E817" s="24"/>
      <c r="F817" s="43"/>
    </row>
    <row r="818" spans="1:6" x14ac:dyDescent="0.25">
      <c r="A818" s="29"/>
      <c r="B818" s="23"/>
      <c r="C818" s="23"/>
      <c r="D818" s="24"/>
      <c r="E818" s="24"/>
      <c r="F818" s="43"/>
    </row>
    <row r="819" spans="1:6" x14ac:dyDescent="0.25">
      <c r="A819" s="29"/>
      <c r="B819" s="23"/>
      <c r="C819" s="23"/>
      <c r="D819" s="24"/>
      <c r="E819" s="24"/>
      <c r="F819" s="43"/>
    </row>
    <row r="820" spans="1:6" x14ac:dyDescent="0.25">
      <c r="A820" s="29"/>
      <c r="B820" s="23"/>
      <c r="C820" s="23"/>
      <c r="D820" s="24"/>
      <c r="E820" s="24"/>
      <c r="F820" s="43"/>
    </row>
    <row r="821" spans="1:6" x14ac:dyDescent="0.25">
      <c r="A821" s="29"/>
      <c r="B821" s="23"/>
      <c r="C821" s="23"/>
      <c r="D821" s="24"/>
      <c r="E821" s="24"/>
      <c r="F821" s="43"/>
    </row>
    <row r="822" spans="1:6" x14ac:dyDescent="0.25">
      <c r="A822" s="29"/>
      <c r="B822" s="23"/>
      <c r="C822" s="23"/>
      <c r="D822" s="24"/>
      <c r="E822" s="24"/>
      <c r="F822" s="43"/>
    </row>
    <row r="823" spans="1:6" x14ac:dyDescent="0.25">
      <c r="A823" s="29"/>
      <c r="B823" s="23"/>
      <c r="C823" s="23"/>
      <c r="D823" s="24"/>
      <c r="E823" s="24"/>
      <c r="F823" s="43"/>
    </row>
    <row r="824" spans="1:6" x14ac:dyDescent="0.25">
      <c r="A824" s="29"/>
      <c r="B824" s="23"/>
      <c r="C824" s="23"/>
      <c r="D824" s="24"/>
      <c r="E824" s="24"/>
      <c r="F824" s="43"/>
    </row>
    <row r="825" spans="1:6" x14ac:dyDescent="0.25">
      <c r="A825" s="29"/>
      <c r="B825" s="23"/>
      <c r="C825" s="23"/>
      <c r="D825" s="24"/>
      <c r="E825" s="24"/>
      <c r="F825" s="43"/>
    </row>
    <row r="826" spans="1:6" x14ac:dyDescent="0.25">
      <c r="A826" s="29"/>
      <c r="B826" s="23"/>
      <c r="C826" s="23"/>
      <c r="D826" s="24"/>
      <c r="E826" s="24"/>
      <c r="F826" s="43"/>
    </row>
    <row r="827" spans="1:6" x14ac:dyDescent="0.25">
      <c r="A827" s="29"/>
      <c r="B827" s="23"/>
      <c r="C827" s="23"/>
      <c r="D827" s="24"/>
      <c r="E827" s="24"/>
      <c r="F827" s="43"/>
    </row>
    <row r="828" spans="1:6" x14ac:dyDescent="0.25">
      <c r="A828" s="29"/>
      <c r="B828" s="23"/>
      <c r="C828" s="23"/>
      <c r="D828" s="24"/>
      <c r="E828" s="24"/>
      <c r="F828" s="43"/>
    </row>
    <row r="829" spans="1:6" x14ac:dyDescent="0.25">
      <c r="A829" s="29"/>
      <c r="B829" s="23"/>
      <c r="C829" s="23"/>
      <c r="D829" s="24"/>
      <c r="E829" s="24"/>
      <c r="F829" s="43"/>
    </row>
    <row r="830" spans="1:6" x14ac:dyDescent="0.25">
      <c r="A830" s="29"/>
      <c r="B830" s="23"/>
      <c r="C830" s="23"/>
      <c r="D830" s="24"/>
      <c r="E830" s="24"/>
      <c r="F830" s="43"/>
    </row>
    <row r="831" spans="1:6" x14ac:dyDescent="0.25">
      <c r="A831" s="29"/>
      <c r="B831" s="23"/>
      <c r="C831" s="23"/>
      <c r="D831" s="24"/>
      <c r="E831" s="24"/>
      <c r="F831" s="43"/>
    </row>
    <row r="832" spans="1:6" x14ac:dyDescent="0.25">
      <c r="A832" s="29"/>
      <c r="B832" s="23"/>
      <c r="C832" s="23"/>
      <c r="D832" s="24"/>
      <c r="E832" s="24"/>
      <c r="F832" s="43"/>
    </row>
    <row r="833" spans="1:6" x14ac:dyDescent="0.25">
      <c r="A833" s="29"/>
      <c r="B833" s="23"/>
      <c r="C833" s="23"/>
      <c r="D833" s="24"/>
      <c r="E833" s="24"/>
      <c r="F833" s="43"/>
    </row>
    <row r="834" spans="1:6" x14ac:dyDescent="0.25">
      <c r="A834" s="29"/>
      <c r="B834" s="23"/>
      <c r="C834" s="23"/>
      <c r="D834" s="24"/>
      <c r="E834" s="24"/>
      <c r="F834" s="43"/>
    </row>
    <row r="835" spans="1:6" x14ac:dyDescent="0.25">
      <c r="A835" s="29"/>
      <c r="B835" s="23"/>
      <c r="C835" s="23"/>
      <c r="D835" s="24"/>
      <c r="E835" s="24"/>
      <c r="F835" s="43"/>
    </row>
    <row r="836" spans="1:6" x14ac:dyDescent="0.25">
      <c r="A836" s="29"/>
      <c r="B836" s="23"/>
      <c r="C836" s="23"/>
      <c r="D836" s="24"/>
      <c r="E836" s="24"/>
      <c r="F836" s="43"/>
    </row>
    <row r="837" spans="1:6" x14ac:dyDescent="0.25">
      <c r="A837" s="29"/>
      <c r="B837" s="23"/>
      <c r="C837" s="23"/>
      <c r="D837" s="24"/>
      <c r="E837" s="24"/>
      <c r="F837" s="43"/>
    </row>
    <row r="838" spans="1:6" x14ac:dyDescent="0.25">
      <c r="A838" s="29"/>
      <c r="B838" s="23"/>
      <c r="C838" s="23"/>
      <c r="D838" s="24"/>
      <c r="E838" s="24"/>
      <c r="F838" s="43"/>
    </row>
    <row r="839" spans="1:6" x14ac:dyDescent="0.25">
      <c r="A839" s="29"/>
      <c r="B839" s="23"/>
      <c r="C839" s="23"/>
      <c r="D839" s="24"/>
      <c r="E839" s="24"/>
      <c r="F839" s="43"/>
    </row>
    <row r="840" spans="1:6" x14ac:dyDescent="0.25">
      <c r="A840" s="29"/>
      <c r="B840" s="23"/>
      <c r="C840" s="23"/>
      <c r="D840" s="24"/>
      <c r="E840" s="24"/>
      <c r="F840" s="43"/>
    </row>
    <row r="841" spans="1:6" x14ac:dyDescent="0.25">
      <c r="A841" s="29"/>
      <c r="B841" s="23"/>
      <c r="C841" s="23"/>
      <c r="D841" s="24"/>
      <c r="E841" s="24"/>
      <c r="F841" s="43"/>
    </row>
    <row r="842" spans="1:6" x14ac:dyDescent="0.25">
      <c r="A842" s="29"/>
      <c r="B842" s="23"/>
      <c r="C842" s="23"/>
      <c r="D842" s="24"/>
      <c r="E842" s="24"/>
      <c r="F842" s="43"/>
    </row>
    <row r="843" spans="1:6" x14ac:dyDescent="0.25">
      <c r="A843" s="29"/>
      <c r="B843" s="23"/>
      <c r="C843" s="23"/>
      <c r="D843" s="24"/>
      <c r="E843" s="24"/>
      <c r="F843" s="43"/>
    </row>
    <row r="844" spans="1:6" x14ac:dyDescent="0.25">
      <c r="A844" s="29"/>
      <c r="B844" s="23"/>
      <c r="C844" s="23"/>
      <c r="D844" s="24"/>
      <c r="E844" s="24"/>
      <c r="F844" s="43"/>
    </row>
    <row r="845" spans="1:6" x14ac:dyDescent="0.25">
      <c r="A845" s="29"/>
      <c r="B845" s="23"/>
      <c r="C845" s="23"/>
      <c r="D845" s="24"/>
      <c r="E845" s="24"/>
      <c r="F845" s="43"/>
    </row>
    <row r="846" spans="1:6" x14ac:dyDescent="0.25">
      <c r="A846" s="29"/>
      <c r="B846" s="23"/>
      <c r="C846" s="23"/>
      <c r="D846" s="24"/>
      <c r="E846" s="24"/>
      <c r="F846" s="43"/>
    </row>
    <row r="847" spans="1:6" x14ac:dyDescent="0.25">
      <c r="A847" s="29"/>
      <c r="B847" s="23"/>
      <c r="C847" s="23"/>
      <c r="D847" s="24"/>
      <c r="E847" s="24"/>
      <c r="F847" s="43"/>
    </row>
  </sheetData>
  <autoFilter ref="A1:F26" xr:uid="{20853F5A-2302-4460-89EE-B5416182383F}">
    <sortState xmlns:xlrd2="http://schemas.microsoft.com/office/spreadsheetml/2017/richdata2" ref="A2:F32">
      <sortCondition ref="A1:A26"/>
    </sortState>
  </autoFilter>
  <sortState xmlns:xlrd2="http://schemas.microsoft.com/office/spreadsheetml/2017/richdata2" ref="A2:F100">
    <sortCondition ref="B2:B100"/>
  </sortState>
  <mergeCells count="49">
    <mergeCell ref="W36:X36"/>
    <mergeCell ref="N2:Q3"/>
    <mergeCell ref="M5:O5"/>
    <mergeCell ref="M6:O6"/>
    <mergeCell ref="M7:O7"/>
    <mergeCell ref="M8:O8"/>
    <mergeCell ref="M9:O9"/>
    <mergeCell ref="O26:P26"/>
    <mergeCell ref="M11:O11"/>
    <mergeCell ref="M12:O12"/>
    <mergeCell ref="M13:O13"/>
    <mergeCell ref="M15:O15"/>
    <mergeCell ref="M16:O16"/>
    <mergeCell ref="M19:O19"/>
    <mergeCell ref="O25:P25"/>
    <mergeCell ref="M21:O21"/>
    <mergeCell ref="M22:O22"/>
    <mergeCell ref="U22:W22"/>
    <mergeCell ref="U5:W5"/>
    <mergeCell ref="U6:W6"/>
    <mergeCell ref="U7:W7"/>
    <mergeCell ref="U8:W8"/>
    <mergeCell ref="U9:W9"/>
    <mergeCell ref="U10:W10"/>
    <mergeCell ref="M17:O17"/>
    <mergeCell ref="M18:O18"/>
    <mergeCell ref="M20:O20"/>
    <mergeCell ref="M10:O10"/>
    <mergeCell ref="U19:W19"/>
    <mergeCell ref="M14:O14"/>
    <mergeCell ref="W26:X26"/>
    <mergeCell ref="U11:W11"/>
    <mergeCell ref="U12:W12"/>
    <mergeCell ref="U13:W13"/>
    <mergeCell ref="U15:W15"/>
    <mergeCell ref="U16:W16"/>
    <mergeCell ref="U17:W17"/>
    <mergeCell ref="U18:W18"/>
    <mergeCell ref="U20:W20"/>
    <mergeCell ref="U14:W14"/>
    <mergeCell ref="U21:W21"/>
    <mergeCell ref="W25:X25"/>
    <mergeCell ref="W32:X32"/>
    <mergeCell ref="W33:X33"/>
    <mergeCell ref="W34:X34"/>
    <mergeCell ref="W28:Y28"/>
    <mergeCell ref="W29:X29"/>
    <mergeCell ref="W31:X31"/>
    <mergeCell ref="W30:X30"/>
  </mergeCell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7</xdr:col>
                <xdr:colOff>190500</xdr:colOff>
                <xdr:row>0</xdr:row>
                <xdr:rowOff>152400</xdr:rowOff>
              </from>
              <to>
                <xdr:col>9</xdr:col>
                <xdr:colOff>419100</xdr:colOff>
                <xdr:row>3</xdr:row>
                <xdr:rowOff>19050</xdr:rowOff>
              </to>
            </anchor>
          </controlPr>
        </control>
      </mc:Choice>
      <mc:Fallback>
        <control shapeId="2049" r:id="rId4"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AD59-F996-4042-9E2D-36CA53BCB538}">
  <sheetPr codeName="Sheet7"/>
  <dimension ref="A1:E454"/>
  <sheetViews>
    <sheetView showGridLines="0" workbookViewId="0">
      <pane ySplit="1" topLeftCell="A14" activePane="bottomLeft" state="frozen"/>
      <selection pane="bottomLeft" activeCell="H39" sqref="H39"/>
    </sheetView>
  </sheetViews>
  <sheetFormatPr defaultRowHeight="15" x14ac:dyDescent="0.25"/>
  <cols>
    <col min="1" max="1" width="9.85546875" style="34" customWidth="1"/>
    <col min="2" max="2" width="11.85546875" style="34" customWidth="1"/>
    <col min="3" max="3" width="15.5703125" style="34" customWidth="1"/>
    <col min="4" max="4" width="23.140625" style="34" customWidth="1"/>
    <col min="5" max="5" width="34.28515625" style="34" customWidth="1"/>
  </cols>
  <sheetData>
    <row r="1" spans="1:5" ht="23.25" customHeight="1" x14ac:dyDescent="0.25">
      <c r="A1" s="36" t="s">
        <v>38</v>
      </c>
      <c r="B1" s="36" t="s">
        <v>23</v>
      </c>
      <c r="C1" s="36" t="s">
        <v>25</v>
      </c>
      <c r="D1" s="36" t="s">
        <v>42</v>
      </c>
      <c r="E1" s="36" t="s">
        <v>44</v>
      </c>
    </row>
    <row r="2" spans="1:5" ht="16.5" x14ac:dyDescent="0.25">
      <c r="A2" s="35">
        <v>17</v>
      </c>
      <c r="B2" s="37">
        <v>45909</v>
      </c>
      <c r="C2" s="35">
        <v>3000</v>
      </c>
      <c r="D2" s="35" t="s">
        <v>43</v>
      </c>
      <c r="E2" s="151" t="str">
        <f>IF(A2&lt;&gt;"", VLOOKUP(A2, MEMBERS_INFO!$A$2:$B$21, 2, FALSE), "")</f>
        <v>వడ్లమాని. బుజ్జయ్య</v>
      </c>
    </row>
    <row r="3" spans="1:5" ht="16.5" x14ac:dyDescent="0.25">
      <c r="A3" s="35">
        <v>4</v>
      </c>
      <c r="B3" s="37">
        <v>45909</v>
      </c>
      <c r="C3" s="35">
        <v>1000</v>
      </c>
      <c r="D3" s="35" t="s">
        <v>43</v>
      </c>
      <c r="E3" s="151" t="str">
        <f>IF(A3&lt;&gt;"", VLOOKUP(A3, MEMBERS_INFO!$A$2:$B$21, 2, FALSE), "")</f>
        <v xml:space="preserve">గెద్దే. కొండయ్య </v>
      </c>
    </row>
    <row r="4" spans="1:5" ht="16.5" x14ac:dyDescent="0.25">
      <c r="A4" s="35">
        <v>7</v>
      </c>
      <c r="B4" s="37">
        <v>45909</v>
      </c>
      <c r="C4" s="35">
        <v>1000</v>
      </c>
      <c r="D4" s="35" t="s">
        <v>43</v>
      </c>
      <c r="E4" s="151" t="str">
        <f>IF(A4&lt;&gt;"", VLOOKUP(A4, MEMBERS_INFO!$A$2:$B$21, 2, FALSE), "")</f>
        <v xml:space="preserve">వడ్లమాని. రాఘవులు నాయుడు </v>
      </c>
    </row>
    <row r="5" spans="1:5" ht="16.5" x14ac:dyDescent="0.25">
      <c r="A5" s="35">
        <v>15</v>
      </c>
      <c r="B5" s="37">
        <v>45916</v>
      </c>
      <c r="C5" s="35">
        <v>31</v>
      </c>
      <c r="D5" s="35" t="s">
        <v>87</v>
      </c>
      <c r="E5" s="151" t="str">
        <f>IF(A5&lt;&gt;"", VLOOKUP(A5, MEMBERS_INFO!$A$2:$B$21, 2, FALSE), "")</f>
        <v>గిద్దలూరి. ప్రకాష్</v>
      </c>
    </row>
    <row r="6" spans="1:5" ht="16.5" x14ac:dyDescent="0.25">
      <c r="A6" s="35">
        <v>6</v>
      </c>
      <c r="B6" s="37">
        <v>45916</v>
      </c>
      <c r="C6" s="35">
        <v>27</v>
      </c>
      <c r="D6" s="35" t="s">
        <v>87</v>
      </c>
      <c r="E6" s="151" t="str">
        <f>IF(A6&lt;&gt;"", VLOOKUP(A6, MEMBERS_INFO!$A$2:$B$21, 2, FALSE), "")</f>
        <v xml:space="preserve">వెలినేని. సుగుణమ్మ </v>
      </c>
    </row>
    <row r="7" spans="1:5" ht="16.5" x14ac:dyDescent="0.25">
      <c r="A7" s="35">
        <v>5</v>
      </c>
      <c r="B7" s="37">
        <v>45916</v>
      </c>
      <c r="C7" s="35">
        <v>22</v>
      </c>
      <c r="D7" s="35" t="s">
        <v>87</v>
      </c>
      <c r="E7" s="151" t="str">
        <f>IF(A7&lt;&gt;"", VLOOKUP(A7, MEMBERS_INFO!$A$2:$B$21, 2, FALSE), "")</f>
        <v>కుట్టుబోయిన. వరలక్ష్మమ్మ</v>
      </c>
    </row>
    <row r="8" spans="1:5" ht="16.5" x14ac:dyDescent="0.25">
      <c r="A8" s="35">
        <v>3</v>
      </c>
      <c r="B8" s="37">
        <v>45916</v>
      </c>
      <c r="C8" s="35">
        <v>22</v>
      </c>
      <c r="D8" s="35" t="s">
        <v>87</v>
      </c>
      <c r="E8" s="151" t="str">
        <f>IF(A8&lt;&gt;"", VLOOKUP(A8, MEMBERS_INFO!$A$2:$B$21, 2, FALSE), "")</f>
        <v xml:space="preserve">నాసిన. సంపూర్ణమ్మ </v>
      </c>
    </row>
    <row r="9" spans="1:5" ht="16.5" x14ac:dyDescent="0.25">
      <c r="A9" s="35">
        <v>8</v>
      </c>
      <c r="B9" s="37">
        <v>45920</v>
      </c>
      <c r="C9" s="35">
        <v>400</v>
      </c>
      <c r="D9" s="35" t="s">
        <v>43</v>
      </c>
      <c r="E9" s="151" t="str">
        <f>IF(A9&lt;&gt;"", VLOOKUP(A9, MEMBERS_INFO!$A$2:$B$21, 2, FALSE), "")</f>
        <v xml:space="preserve">వెలినేని. రవణమ్మ </v>
      </c>
    </row>
    <row r="10" spans="1:5" ht="16.5" x14ac:dyDescent="0.25">
      <c r="A10" s="35">
        <v>10</v>
      </c>
      <c r="B10" s="37">
        <v>45927</v>
      </c>
      <c r="C10" s="35">
        <v>600</v>
      </c>
      <c r="D10" s="35" t="s">
        <v>43</v>
      </c>
      <c r="E10" s="151" t="str">
        <f>IF(A10&lt;&gt;"", VLOOKUP(A10, MEMBERS_INFO!$A$2:$B$21, 2, FALSE), "")</f>
        <v xml:space="preserve">వడ్లమాని. అనిల్ </v>
      </c>
    </row>
    <row r="11" spans="1:5" ht="16.5" x14ac:dyDescent="0.25">
      <c r="A11" s="35">
        <v>10</v>
      </c>
      <c r="B11" s="37">
        <v>45927</v>
      </c>
      <c r="C11" s="35">
        <v>1000</v>
      </c>
      <c r="D11" s="35" t="s">
        <v>43</v>
      </c>
      <c r="E11" s="151" t="str">
        <f>IF(A11&lt;&gt;"", VLOOKUP(A11, MEMBERS_INFO!$A$2:$B$21, 2, FALSE), "")</f>
        <v xml:space="preserve">వడ్లమాని. అనిల్ </v>
      </c>
    </row>
    <row r="12" spans="1:5" ht="16.5" x14ac:dyDescent="0.25">
      <c r="A12" s="35">
        <v>17</v>
      </c>
      <c r="B12" s="37">
        <v>45927</v>
      </c>
      <c r="C12" s="35">
        <v>1000</v>
      </c>
      <c r="D12" s="35" t="s">
        <v>43</v>
      </c>
      <c r="E12" s="151" t="str">
        <f>IF(A12&lt;&gt;"", VLOOKUP(A12, MEMBERS_INFO!$A$2:$B$21, 2, FALSE), "")</f>
        <v>వడ్లమాని. బుజ్జయ్య</v>
      </c>
    </row>
    <row r="13" spans="1:5" ht="16.5" x14ac:dyDescent="0.25">
      <c r="A13" s="35">
        <v>16</v>
      </c>
      <c r="B13" s="37">
        <v>45930</v>
      </c>
      <c r="C13" s="35">
        <v>6000</v>
      </c>
      <c r="D13" s="35" t="s">
        <v>43</v>
      </c>
      <c r="E13" s="151" t="str">
        <f>IF(A13&lt;&gt;"", VLOOKUP(A13, MEMBERS_INFO!$A$2:$B$21, 2, FALSE), "")</f>
        <v>కూనిశెట్టి. కళాధరరావు</v>
      </c>
    </row>
    <row r="14" spans="1:5" ht="16.5" x14ac:dyDescent="0.25">
      <c r="A14" s="35">
        <v>16</v>
      </c>
      <c r="B14" s="37">
        <v>45931</v>
      </c>
      <c r="C14" s="35">
        <v>500</v>
      </c>
      <c r="D14" s="35" t="s">
        <v>43</v>
      </c>
      <c r="E14" s="151" t="str">
        <f>IF(A14&lt;&gt;"", VLOOKUP(A14, MEMBERS_INFO!$A$2:$B$21, 2, FALSE), "")</f>
        <v>కూనిశెట్టి. కళాధరరావు</v>
      </c>
    </row>
    <row r="15" spans="1:5" ht="16.5" x14ac:dyDescent="0.25">
      <c r="A15" s="35">
        <v>10</v>
      </c>
      <c r="B15" s="37">
        <v>45931</v>
      </c>
      <c r="C15" s="35">
        <v>2000</v>
      </c>
      <c r="D15" s="35" t="s">
        <v>43</v>
      </c>
      <c r="E15" s="151" t="str">
        <f>IF(A15&lt;&gt;"", VLOOKUP(A15, MEMBERS_INFO!$A$2:$B$21, 2, FALSE), "")</f>
        <v xml:space="preserve">వడ్లమాని. అనిల్ </v>
      </c>
    </row>
    <row r="16" spans="1:5" ht="16.5" x14ac:dyDescent="0.25">
      <c r="A16" s="35">
        <v>10</v>
      </c>
      <c r="B16" s="37">
        <v>45931</v>
      </c>
      <c r="C16" s="35">
        <v>223</v>
      </c>
      <c r="D16" s="35" t="s">
        <v>92</v>
      </c>
      <c r="E16" s="151" t="str">
        <f>IF(A16&lt;&gt;"", VLOOKUP(A16, MEMBERS_INFO!$A$2:$B$21, 2, FALSE), "")</f>
        <v xml:space="preserve">వడ్లమాని. అనిల్ </v>
      </c>
    </row>
    <row r="17" spans="1:5" ht="16.5" x14ac:dyDescent="0.25">
      <c r="A17" s="35">
        <v>6</v>
      </c>
      <c r="B17" s="37">
        <v>45939</v>
      </c>
      <c r="C17" s="35">
        <v>450</v>
      </c>
      <c r="D17" s="35" t="s">
        <v>91</v>
      </c>
      <c r="E17" s="151" t="str">
        <f>IF(A17&lt;&gt;"", VLOOKUP(A17, MEMBERS_INFO!$A$2:$B$21, 2, FALSE), "")</f>
        <v xml:space="preserve">వెలినేని. సుగుణమ్మ </v>
      </c>
    </row>
    <row r="18" spans="1:5" ht="16.5" x14ac:dyDescent="0.25">
      <c r="A18" s="35">
        <v>7</v>
      </c>
      <c r="B18" s="37">
        <v>45944</v>
      </c>
      <c r="C18" s="35">
        <v>500</v>
      </c>
      <c r="D18" s="35" t="s">
        <v>43</v>
      </c>
      <c r="E18" s="151" t="str">
        <f>IF(A18&lt;&gt;"", VLOOKUP(A18, MEMBERS_INFO!$A$2:$B$21, 2, FALSE), "")</f>
        <v xml:space="preserve">వడ్లమాని. రాఘవులు నాయుడు </v>
      </c>
    </row>
    <row r="19" spans="1:5" ht="16.5" x14ac:dyDescent="0.25">
      <c r="A19" s="35">
        <v>10</v>
      </c>
      <c r="B19" s="37">
        <v>45945</v>
      </c>
      <c r="C19" s="35">
        <v>300</v>
      </c>
      <c r="D19" s="35" t="s">
        <v>43</v>
      </c>
      <c r="E19" s="151" t="str">
        <f>IF(A19&lt;&gt;"", VLOOKUP(A19, MEMBERS_INFO!$A$2:$B$21, 2, FALSE), "")</f>
        <v xml:space="preserve">వడ్లమాని. అనిల్ </v>
      </c>
    </row>
    <row r="20" spans="1:5" ht="16.5" x14ac:dyDescent="0.25">
      <c r="A20" s="35">
        <v>10</v>
      </c>
      <c r="B20" s="37">
        <v>45950</v>
      </c>
      <c r="C20" s="35">
        <v>1300</v>
      </c>
      <c r="D20" s="35" t="s">
        <v>43</v>
      </c>
      <c r="E20" s="151" t="str">
        <f>IF(A20&lt;&gt;"", VLOOKUP(A20, MEMBERS_INFO!$A$2:$B$21, 2, FALSE), "")</f>
        <v xml:space="preserve">వడ్లమాని. అనిల్ </v>
      </c>
    </row>
    <row r="21" spans="1:5" ht="16.5" x14ac:dyDescent="0.25">
      <c r="A21" s="35">
        <v>10</v>
      </c>
      <c r="B21" s="37">
        <v>45950</v>
      </c>
      <c r="C21" s="158">
        <v>404</v>
      </c>
      <c r="D21" s="158" t="s">
        <v>58</v>
      </c>
      <c r="E21" s="151" t="str">
        <f>IF(A21&lt;&gt;"", VLOOKUP(A21, MEMBERS_INFO!$A$2:$B$21, 2, FALSE), "")</f>
        <v xml:space="preserve">వడ్లమాని. అనిల్ </v>
      </c>
    </row>
    <row r="22" spans="1:5" ht="16.5" x14ac:dyDescent="0.25">
      <c r="A22" s="35">
        <v>8</v>
      </c>
      <c r="B22" s="37">
        <v>45950</v>
      </c>
      <c r="C22" s="158">
        <v>1000</v>
      </c>
      <c r="D22" s="158" t="s">
        <v>43</v>
      </c>
      <c r="E22" s="151" t="str">
        <f>IF(A22&lt;&gt;"", VLOOKUP(A22, MEMBERS_INFO!$A$2:$B$21, 2, FALSE), "")</f>
        <v xml:space="preserve">వెలినేని. రవణమ్మ </v>
      </c>
    </row>
    <row r="23" spans="1:5" ht="16.5" x14ac:dyDescent="0.25">
      <c r="A23" s="35">
        <v>10</v>
      </c>
      <c r="B23" s="37">
        <v>45955</v>
      </c>
      <c r="C23" s="158">
        <v>150</v>
      </c>
      <c r="D23" s="158" t="s">
        <v>97</v>
      </c>
      <c r="E23" s="151" t="str">
        <f>IF(A23&lt;&gt;"", VLOOKUP(A23, MEMBERS_INFO!$A$2:$B$21, 2, FALSE), "")</f>
        <v xml:space="preserve">వడ్లమాని. అనిల్ </v>
      </c>
    </row>
    <row r="24" spans="1:5" ht="16.5" x14ac:dyDescent="0.25">
      <c r="A24" s="35">
        <v>10</v>
      </c>
      <c r="B24" s="37">
        <v>45956</v>
      </c>
      <c r="C24" s="35">
        <v>300</v>
      </c>
      <c r="D24" s="35" t="s">
        <v>98</v>
      </c>
      <c r="E24" s="151" t="str">
        <f>IF(A24&lt;&gt;"", VLOOKUP(A24, MEMBERS_INFO!$A$2:$B$21, 2, FALSE), "")</f>
        <v xml:space="preserve">వడ్లమాని. అనిల్ </v>
      </c>
    </row>
    <row r="25" spans="1:5" ht="16.5" x14ac:dyDescent="0.25">
      <c r="A25" s="35">
        <v>7</v>
      </c>
      <c r="B25" s="37">
        <v>45976</v>
      </c>
      <c r="C25" s="35">
        <v>500</v>
      </c>
      <c r="D25" s="35" t="s">
        <v>94</v>
      </c>
      <c r="E25" s="151" t="str">
        <f>IF(A25&lt;&gt;"", VLOOKUP(A25, MEMBERS_INFO!$A$2:$B$21, 2, FALSE), "")</f>
        <v xml:space="preserve">వడ్లమాని. రాఘవులు నాయుడు </v>
      </c>
    </row>
    <row r="26" spans="1:5" ht="16.5" x14ac:dyDescent="0.25">
      <c r="A26" s="35">
        <v>7</v>
      </c>
      <c r="B26" s="37">
        <v>45976</v>
      </c>
      <c r="C26" s="35">
        <v>200</v>
      </c>
      <c r="D26" s="35" t="s">
        <v>43</v>
      </c>
      <c r="E26" s="151" t="str">
        <f>IF(A26&lt;&gt;"", VLOOKUP(A26, MEMBERS_INFO!$A$2:$B$21, 2, FALSE), "")</f>
        <v xml:space="preserve">వడ్లమాని. రాఘవులు నాయుడు </v>
      </c>
    </row>
    <row r="27" spans="1:5" ht="16.5" x14ac:dyDescent="0.25">
      <c r="A27" s="35">
        <v>8</v>
      </c>
      <c r="B27" s="37">
        <v>45976</v>
      </c>
      <c r="C27" s="35">
        <v>130</v>
      </c>
      <c r="D27" s="35" t="s">
        <v>101</v>
      </c>
      <c r="E27" s="151" t="str">
        <f>IF(A27&lt;&gt;"", VLOOKUP(A27, MEMBERS_INFO!$A$2:$B$21, 2, FALSE), "")</f>
        <v xml:space="preserve">వెలినేని. రవణమ్మ </v>
      </c>
    </row>
    <row r="28" spans="1:5" ht="16.5" x14ac:dyDescent="0.25">
      <c r="A28" s="35">
        <v>10</v>
      </c>
      <c r="B28" s="37">
        <v>45976</v>
      </c>
      <c r="C28" s="35">
        <v>2100</v>
      </c>
      <c r="D28" s="35" t="s">
        <v>43</v>
      </c>
      <c r="E28" s="151" t="str">
        <f>IF(A28&lt;&gt;"", VLOOKUP(A28, MEMBERS_INFO!$A$2:$B$21, 2, FALSE), "")</f>
        <v xml:space="preserve">వడ్లమాని. అనిల్ </v>
      </c>
    </row>
    <row r="29" spans="1:5" ht="16.5" x14ac:dyDescent="0.25">
      <c r="A29" s="35">
        <v>10</v>
      </c>
      <c r="B29" s="37">
        <v>45976</v>
      </c>
      <c r="C29" s="35">
        <v>1000</v>
      </c>
      <c r="D29" s="35" t="s">
        <v>43</v>
      </c>
      <c r="E29" s="151" t="str">
        <f>IF(A29&lt;&gt;"", VLOOKUP(A29, MEMBERS_INFO!$A$2:$B$21, 2, FALSE), "")</f>
        <v xml:space="preserve">వడ్లమాని. అనిల్ </v>
      </c>
    </row>
    <row r="30" spans="1:5" ht="16.5" x14ac:dyDescent="0.25">
      <c r="A30" s="35">
        <v>10</v>
      </c>
      <c r="B30" s="37">
        <v>45976</v>
      </c>
      <c r="C30" s="35">
        <v>70</v>
      </c>
      <c r="D30" s="35" t="s">
        <v>43</v>
      </c>
      <c r="E30" s="151" t="str">
        <f>IF(A30&lt;&gt;"", VLOOKUP(A30, MEMBERS_INFO!$A$2:$B$21, 2, FALSE), "")</f>
        <v xml:space="preserve">వడ్లమాని. అనిల్ </v>
      </c>
    </row>
    <row r="31" spans="1:5" ht="16.5" x14ac:dyDescent="0.25">
      <c r="A31" s="35">
        <v>8</v>
      </c>
      <c r="B31" s="37">
        <v>45976</v>
      </c>
      <c r="C31" s="35">
        <v>1030</v>
      </c>
      <c r="D31" s="35" t="s">
        <v>102</v>
      </c>
      <c r="E31" s="151" t="str">
        <f>IF(A31&lt;&gt;"", VLOOKUP(A31, MEMBERS_INFO!$A$2:$B$21, 2, FALSE), "")</f>
        <v xml:space="preserve">వెలినేని. రవణమ్మ </v>
      </c>
    </row>
    <row r="32" spans="1:5" ht="16.5" x14ac:dyDescent="0.25">
      <c r="A32" s="35">
        <v>8</v>
      </c>
      <c r="B32" s="37">
        <v>45977</v>
      </c>
      <c r="C32" s="35">
        <v>1000</v>
      </c>
      <c r="D32" s="35" t="s">
        <v>43</v>
      </c>
      <c r="E32" s="151" t="str">
        <f>IF(A32&lt;&gt;"", VLOOKUP(A32, MEMBERS_INFO!$A$2:$B$21, 2, FALSE), "")</f>
        <v xml:space="preserve">వెలినేని. రవణమ్మ </v>
      </c>
    </row>
    <row r="33" spans="1:5" ht="16.5" x14ac:dyDescent="0.25">
      <c r="A33" s="35">
        <v>10</v>
      </c>
      <c r="B33" s="37">
        <v>45977</v>
      </c>
      <c r="C33" s="35">
        <v>500</v>
      </c>
      <c r="D33" s="35" t="s">
        <v>43</v>
      </c>
      <c r="E33" s="151" t="str">
        <f>IF(A33&lt;&gt;"", VLOOKUP(A33, MEMBERS_INFO!$A$2:$B$21, 2, FALSE), "")</f>
        <v xml:space="preserve">వడ్లమాని. అనిల్ </v>
      </c>
    </row>
    <row r="34" spans="1:5" ht="16.5" x14ac:dyDescent="0.25">
      <c r="A34" s="35">
        <v>10</v>
      </c>
      <c r="B34" s="37">
        <v>45977</v>
      </c>
      <c r="C34" s="35">
        <v>496</v>
      </c>
      <c r="D34" s="35" t="s">
        <v>58</v>
      </c>
      <c r="E34" s="151" t="str">
        <f>IF(A34&lt;&gt;"", VLOOKUP(A34, MEMBERS_INFO!$A$2:$B$21, 2, FALSE), "")</f>
        <v xml:space="preserve">వడ్లమాని. అనిల్ </v>
      </c>
    </row>
    <row r="35" spans="1:5" ht="16.5" x14ac:dyDescent="0.25">
      <c r="A35" s="35">
        <v>7</v>
      </c>
      <c r="B35" s="37">
        <v>46006</v>
      </c>
      <c r="C35" s="35">
        <v>500</v>
      </c>
      <c r="D35" s="35" t="s">
        <v>96</v>
      </c>
      <c r="E35" s="151" t="str">
        <f>IF(A35&lt;&gt;"", VLOOKUP(A35, MEMBERS_INFO!$A$2:$B$21, 2, FALSE), "")</f>
        <v xml:space="preserve">వడ్లమాని. రాఘవులు నాయుడు </v>
      </c>
    </row>
    <row r="36" spans="1:5" ht="16.5" x14ac:dyDescent="0.25">
      <c r="A36" s="35">
        <v>7</v>
      </c>
      <c r="B36" s="37">
        <v>46013</v>
      </c>
      <c r="C36" s="35">
        <v>500</v>
      </c>
      <c r="D36" s="35" t="s">
        <v>95</v>
      </c>
      <c r="E36" s="151" t="str">
        <f>IF(A36&lt;&gt;"", VLOOKUP(A36, MEMBERS_INFO!$A$2:$B$21, 2, FALSE), "")</f>
        <v xml:space="preserve">వడ్లమాని. రాఘవులు నాయుడు </v>
      </c>
    </row>
    <row r="37" spans="1:5" ht="16.5" x14ac:dyDescent="0.25">
      <c r="A37" s="35"/>
      <c r="B37" s="35"/>
      <c r="C37" s="35"/>
      <c r="D37" s="35"/>
      <c r="E37" s="151" t="str">
        <f>IF(A37&lt;&gt;"", VLOOKUP(A37, MEMBERS_INFO!$A$2:$B$21, 2, FALSE), "")</f>
        <v/>
      </c>
    </row>
    <row r="38" spans="1:5" ht="16.5" x14ac:dyDescent="0.25">
      <c r="A38" s="35"/>
      <c r="B38" s="35"/>
      <c r="C38" s="35"/>
      <c r="D38" s="35"/>
      <c r="E38" s="151" t="str">
        <f>IF(A38&lt;&gt;"", VLOOKUP(A38, MEMBERS_INFO!$A$2:$B$21, 2, FALSE), "")</f>
        <v/>
      </c>
    </row>
    <row r="39" spans="1:5" ht="16.5" x14ac:dyDescent="0.25">
      <c r="A39" s="35"/>
      <c r="B39" s="35"/>
      <c r="C39" s="35"/>
      <c r="D39" s="35"/>
      <c r="E39" s="151" t="str">
        <f>IF(A39&lt;&gt;"", VLOOKUP(A39, MEMBERS_INFO!$A$2:$B$21, 2, FALSE), "")</f>
        <v/>
      </c>
    </row>
    <row r="40" spans="1:5" ht="16.5" x14ac:dyDescent="0.25">
      <c r="A40" s="35"/>
      <c r="B40" s="35"/>
      <c r="C40" s="35"/>
      <c r="D40" s="35"/>
      <c r="E40" s="151" t="str">
        <f>IF(A40&lt;&gt;"", VLOOKUP(A40, MEMBERS_INFO!$A$2:$B$21, 2, FALSE), "")</f>
        <v/>
      </c>
    </row>
    <row r="41" spans="1:5" ht="16.5" x14ac:dyDescent="0.25">
      <c r="A41" s="35"/>
      <c r="B41" s="35"/>
      <c r="C41" s="35"/>
      <c r="D41" s="35"/>
      <c r="E41" s="151" t="str">
        <f>IF(A41&lt;&gt;"", VLOOKUP(A41, MEMBERS_INFO!$A$2:$B$21, 2, FALSE), "")</f>
        <v/>
      </c>
    </row>
    <row r="42" spans="1:5" ht="16.5" x14ac:dyDescent="0.25">
      <c r="A42" s="35"/>
      <c r="B42" s="35"/>
      <c r="C42" s="35"/>
      <c r="D42" s="35"/>
      <c r="E42" s="151" t="str">
        <f>IF(A42&lt;&gt;"", VLOOKUP(A42, MEMBERS_INFO!$A$2:$B$21, 2, FALSE), "")</f>
        <v/>
      </c>
    </row>
    <row r="43" spans="1:5" ht="16.5" x14ac:dyDescent="0.25">
      <c r="A43" s="35"/>
      <c r="B43" s="35"/>
      <c r="C43" s="35"/>
      <c r="D43" s="35"/>
      <c r="E43" s="151" t="str">
        <f>IF(A43&lt;&gt;"", VLOOKUP(A43, MEMBERS_INFO!$A$2:$B$21, 2, FALSE), "")</f>
        <v/>
      </c>
    </row>
    <row r="44" spans="1:5" ht="16.5" x14ac:dyDescent="0.25">
      <c r="A44" s="35"/>
      <c r="B44" s="35"/>
      <c r="C44" s="35"/>
      <c r="D44" s="35"/>
      <c r="E44" s="151" t="str">
        <f>IF(A44&lt;&gt;"", VLOOKUP(A44, MEMBERS_INFO!$A$2:$B$21, 2, FALSE), "")</f>
        <v/>
      </c>
    </row>
    <row r="45" spans="1:5" ht="16.5" x14ac:dyDescent="0.25">
      <c r="A45" s="35"/>
      <c r="B45" s="35"/>
      <c r="C45" s="35"/>
      <c r="D45" s="35"/>
      <c r="E45" s="151" t="str">
        <f>IF(A45&lt;&gt;"", VLOOKUP(A45, MEMBERS_INFO!$A$2:$B$21, 2, FALSE), "")</f>
        <v/>
      </c>
    </row>
    <row r="46" spans="1:5" ht="16.5" x14ac:dyDescent="0.25">
      <c r="A46" s="35"/>
      <c r="B46" s="35"/>
      <c r="C46" s="35"/>
      <c r="D46" s="35"/>
      <c r="E46" s="151" t="str">
        <f>IF(A46&lt;&gt;"", VLOOKUP(A46, MEMBERS_INFO!$A$2:$B$21, 2, FALSE), "")</f>
        <v/>
      </c>
    </row>
    <row r="47" spans="1:5" ht="16.5" x14ac:dyDescent="0.25">
      <c r="A47" s="35"/>
      <c r="B47" s="35"/>
      <c r="C47" s="35"/>
      <c r="D47" s="35"/>
      <c r="E47" s="151" t="str">
        <f>IF(A47&lt;&gt;"", VLOOKUP(A47, MEMBERS_INFO!$A$2:$B$21, 2, FALSE), "")</f>
        <v/>
      </c>
    </row>
    <row r="48" spans="1:5" ht="16.5" x14ac:dyDescent="0.25">
      <c r="A48" s="35"/>
      <c r="B48" s="35"/>
      <c r="C48" s="35"/>
      <c r="D48" s="35"/>
      <c r="E48" s="151" t="str">
        <f>IF(A48&lt;&gt;"", VLOOKUP(A48, MEMBERS_INFO!$A$2:$B$21, 2, FALSE), "")</f>
        <v/>
      </c>
    </row>
    <row r="49" spans="1:5" ht="16.5" x14ac:dyDescent="0.25">
      <c r="A49" s="35"/>
      <c r="B49" s="35"/>
      <c r="C49" s="35"/>
      <c r="D49" s="35"/>
      <c r="E49" s="151" t="str">
        <f>IF(A49&lt;&gt;"", VLOOKUP(A49, MEMBERS_INFO!$A$2:$B$21, 2, FALSE), "")</f>
        <v/>
      </c>
    </row>
    <row r="50" spans="1:5" ht="16.5" x14ac:dyDescent="0.25">
      <c r="A50" s="35"/>
      <c r="B50" s="35"/>
      <c r="C50" s="35"/>
      <c r="D50" s="35"/>
      <c r="E50" s="151" t="str">
        <f>IF(A50&lt;&gt;"", VLOOKUP(A50, MEMBERS_INFO!$A$2:$B$21, 2, FALSE), "")</f>
        <v/>
      </c>
    </row>
    <row r="51" spans="1:5" ht="16.5" x14ac:dyDescent="0.25">
      <c r="A51" s="35"/>
      <c r="B51" s="35"/>
      <c r="C51" s="35"/>
      <c r="D51" s="35"/>
      <c r="E51" s="151" t="str">
        <f>IF(A51&lt;&gt;"", VLOOKUP(A51, MEMBERS_INFO!$A$2:$B$21, 2, FALSE), "")</f>
        <v/>
      </c>
    </row>
    <row r="52" spans="1:5" ht="16.5" x14ac:dyDescent="0.25">
      <c r="A52" s="35"/>
      <c r="B52" s="35"/>
      <c r="C52" s="35"/>
      <c r="D52" s="35"/>
      <c r="E52" s="151" t="str">
        <f>IF(A52&lt;&gt;"", VLOOKUP(A52, MEMBERS_INFO!$A$2:$B$21, 2, FALSE), "")</f>
        <v/>
      </c>
    </row>
    <row r="53" spans="1:5" ht="16.5" x14ac:dyDescent="0.25">
      <c r="A53" s="35"/>
      <c r="B53" s="35"/>
      <c r="C53" s="35"/>
      <c r="D53" s="35"/>
      <c r="E53" s="151" t="str">
        <f>IF(A53&lt;&gt;"", VLOOKUP(A53, MEMBERS_INFO!$A$2:$B$21, 2, FALSE), "")</f>
        <v/>
      </c>
    </row>
    <row r="54" spans="1:5" ht="16.5" x14ac:dyDescent="0.25">
      <c r="A54" s="35"/>
      <c r="B54" s="35"/>
      <c r="C54" s="35"/>
      <c r="D54" s="35"/>
      <c r="E54" s="151" t="str">
        <f>IF(A54&lt;&gt;"", VLOOKUP(A54, MEMBERS_INFO!$A$2:$B$21, 2, FALSE), "")</f>
        <v/>
      </c>
    </row>
    <row r="55" spans="1:5" ht="16.5" x14ac:dyDescent="0.25">
      <c r="A55" s="35"/>
      <c r="B55" s="35"/>
      <c r="C55" s="35"/>
      <c r="D55" s="35"/>
      <c r="E55" s="151" t="str">
        <f>IF(A55&lt;&gt;"", VLOOKUP(A55, MEMBERS_INFO!$A$2:$B$21, 2, FALSE), "")</f>
        <v/>
      </c>
    </row>
    <row r="56" spans="1:5" ht="16.5" x14ac:dyDescent="0.25">
      <c r="A56" s="35"/>
      <c r="B56" s="35"/>
      <c r="C56" s="35"/>
      <c r="D56" s="35"/>
      <c r="E56" s="151" t="str">
        <f>IF(A56&lt;&gt;"", VLOOKUP(A56, MEMBERS_INFO!$A$2:$B$21, 2, FALSE), "")</f>
        <v/>
      </c>
    </row>
    <row r="57" spans="1:5" ht="16.5" x14ac:dyDescent="0.25">
      <c r="A57" s="35"/>
      <c r="B57" s="35"/>
      <c r="C57" s="35"/>
      <c r="D57" s="35"/>
      <c r="E57" s="151" t="str">
        <f>IF(A57&lt;&gt;"", VLOOKUP(A57, MEMBERS_INFO!$A$2:$B$21, 2, FALSE), "")</f>
        <v/>
      </c>
    </row>
    <row r="58" spans="1:5" ht="16.5" x14ac:dyDescent="0.25">
      <c r="A58" s="35"/>
      <c r="B58" s="35"/>
      <c r="C58" s="35"/>
      <c r="D58" s="35"/>
      <c r="E58" s="151" t="str">
        <f>IF(A58&lt;&gt;"", VLOOKUP(A58, MEMBERS_INFO!$A$2:$B$21, 2, FALSE), "")</f>
        <v/>
      </c>
    </row>
    <row r="59" spans="1:5" ht="16.5" x14ac:dyDescent="0.25">
      <c r="A59" s="35"/>
      <c r="B59" s="35"/>
      <c r="C59" s="35"/>
      <c r="D59" s="35"/>
      <c r="E59" s="151" t="str">
        <f>IF(A59&lt;&gt;"", VLOOKUP(A59, MEMBERS_INFO!$A$2:$B$21, 2, FALSE), "")</f>
        <v/>
      </c>
    </row>
    <row r="60" spans="1:5" ht="16.5" x14ac:dyDescent="0.25">
      <c r="A60" s="35"/>
      <c r="B60" s="35"/>
      <c r="C60" s="35"/>
      <c r="D60" s="35"/>
      <c r="E60" s="151" t="str">
        <f>IF(A60&lt;&gt;"", VLOOKUP(A60, MEMBERS_INFO!$A$2:$B$21, 2, FALSE), "")</f>
        <v/>
      </c>
    </row>
    <row r="61" spans="1:5" ht="16.5" x14ac:dyDescent="0.25">
      <c r="A61" s="35"/>
      <c r="B61" s="35"/>
      <c r="C61" s="35"/>
      <c r="D61" s="35"/>
      <c r="E61" s="151" t="str">
        <f>IF(A61&lt;&gt;"", VLOOKUP(A61, MEMBERS_INFO!$A$2:$B$21, 2, FALSE), "")</f>
        <v/>
      </c>
    </row>
    <row r="62" spans="1:5" ht="16.5" x14ac:dyDescent="0.25">
      <c r="A62" s="35"/>
      <c r="B62" s="35"/>
      <c r="C62" s="35"/>
      <c r="D62" s="35"/>
      <c r="E62" s="151" t="str">
        <f>IF(A62&lt;&gt;"", VLOOKUP(A62, MEMBERS_INFO!$A$2:$B$21, 2, FALSE), "")</f>
        <v/>
      </c>
    </row>
    <row r="63" spans="1:5" ht="16.5" x14ac:dyDescent="0.25">
      <c r="A63" s="35"/>
      <c r="B63" s="35"/>
      <c r="C63" s="35"/>
      <c r="D63" s="35"/>
      <c r="E63" s="151" t="str">
        <f>IF(A63&lt;&gt;"", VLOOKUP(A63, MEMBERS_INFO!$A$2:$B$21, 2, FALSE), "")</f>
        <v/>
      </c>
    </row>
    <row r="64" spans="1:5" ht="16.5" x14ac:dyDescent="0.25">
      <c r="A64" s="35"/>
      <c r="B64" s="35"/>
      <c r="C64" s="35"/>
      <c r="D64" s="35"/>
      <c r="E64" s="151" t="str">
        <f>IF(A64&lt;&gt;"", VLOOKUP(A64, MEMBERS_INFO!$A$2:$B$21, 2, FALSE), "")</f>
        <v/>
      </c>
    </row>
    <row r="65" spans="1:5" ht="16.5" x14ac:dyDescent="0.25">
      <c r="A65" s="35"/>
      <c r="B65" s="35"/>
      <c r="C65" s="35"/>
      <c r="D65" s="35"/>
      <c r="E65" s="151" t="str">
        <f>IF(A65&lt;&gt;"", VLOOKUP(A65, MEMBERS_INFO!$A$2:$B$21, 2, FALSE), "")</f>
        <v/>
      </c>
    </row>
    <row r="66" spans="1:5" ht="16.5" x14ac:dyDescent="0.25">
      <c r="A66" s="35"/>
      <c r="B66" s="35"/>
      <c r="C66" s="35"/>
      <c r="D66" s="35"/>
      <c r="E66" s="151" t="str">
        <f>IF(A66&lt;&gt;"", VLOOKUP(A66, MEMBERS_INFO!$A$2:$B$21, 2, FALSE), "")</f>
        <v/>
      </c>
    </row>
    <row r="67" spans="1:5" ht="16.5" x14ac:dyDescent="0.25">
      <c r="A67" s="35"/>
      <c r="B67" s="35"/>
      <c r="C67" s="35"/>
      <c r="D67" s="35"/>
      <c r="E67" s="151" t="str">
        <f>IF(A67&lt;&gt;"", VLOOKUP(A67, MEMBERS_INFO!$A$2:$B$21, 2, FALSE), "")</f>
        <v/>
      </c>
    </row>
    <row r="68" spans="1:5" ht="16.5" x14ac:dyDescent="0.25">
      <c r="A68" s="35"/>
      <c r="B68" s="35"/>
      <c r="C68" s="35"/>
      <c r="D68" s="35"/>
      <c r="E68" s="151" t="str">
        <f>IF(A68&lt;&gt;"", VLOOKUP(A68, MEMBERS_INFO!$A$2:$B$21, 2, FALSE), "")</f>
        <v/>
      </c>
    </row>
    <row r="69" spans="1:5" ht="16.5" x14ac:dyDescent="0.25">
      <c r="A69" s="35"/>
      <c r="B69" s="35"/>
      <c r="C69" s="35"/>
      <c r="D69" s="35"/>
      <c r="E69" s="151" t="str">
        <f>IF(A69&lt;&gt;"", VLOOKUP(A69, MEMBERS_INFO!$A$2:$B$21, 2, FALSE), "")</f>
        <v/>
      </c>
    </row>
    <row r="70" spans="1:5" ht="16.5" x14ac:dyDescent="0.25">
      <c r="A70" s="35"/>
      <c r="B70" s="35"/>
      <c r="C70" s="35"/>
      <c r="D70" s="35"/>
      <c r="E70" s="151" t="str">
        <f>IF(A70&lt;&gt;"", VLOOKUP(A70, MEMBERS_INFO!$A$2:$B$21, 2, FALSE), "")</f>
        <v/>
      </c>
    </row>
    <row r="71" spans="1:5" ht="16.5" x14ac:dyDescent="0.25">
      <c r="A71" s="35"/>
      <c r="B71" s="35"/>
      <c r="C71" s="35"/>
      <c r="D71" s="35"/>
      <c r="E71" s="151" t="str">
        <f>IF(A71&lt;&gt;"", VLOOKUP(A71, MEMBERS_INFO!$A$2:$B$21, 2, FALSE), "")</f>
        <v/>
      </c>
    </row>
    <row r="72" spans="1:5" ht="16.5" x14ac:dyDescent="0.25">
      <c r="A72" s="35"/>
      <c r="B72" s="35"/>
      <c r="C72" s="35"/>
      <c r="D72" s="35"/>
      <c r="E72" s="151" t="str">
        <f>IF(A72&lt;&gt;"", VLOOKUP(A72, MEMBERS_INFO!$A$2:$B$21, 2, FALSE), "")</f>
        <v/>
      </c>
    </row>
    <row r="73" spans="1:5" ht="16.5" x14ac:dyDescent="0.25">
      <c r="A73" s="35"/>
      <c r="B73" s="35"/>
      <c r="C73" s="35"/>
      <c r="D73" s="35"/>
      <c r="E73" s="151" t="str">
        <f>IF(A73&lt;&gt;"", VLOOKUP(A73, MEMBERS_INFO!$A$2:$B$21, 2, FALSE), "")</f>
        <v/>
      </c>
    </row>
    <row r="74" spans="1:5" ht="16.5" x14ac:dyDescent="0.25">
      <c r="A74" s="35"/>
      <c r="B74" s="35"/>
      <c r="C74" s="35"/>
      <c r="D74" s="35"/>
      <c r="E74" s="151" t="str">
        <f>IF(A74&lt;&gt;"", VLOOKUP(A74, MEMBERS_INFO!$A$2:$B$21, 2, FALSE), "")</f>
        <v/>
      </c>
    </row>
    <row r="75" spans="1:5" ht="16.5" x14ac:dyDescent="0.25">
      <c r="A75" s="35"/>
      <c r="B75" s="35"/>
      <c r="C75" s="35"/>
      <c r="D75" s="35"/>
      <c r="E75" s="151" t="str">
        <f>IF(A75&lt;&gt;"", VLOOKUP(A75, MEMBERS_INFO!$A$2:$B$21, 2, FALSE), "")</f>
        <v/>
      </c>
    </row>
    <row r="76" spans="1:5" ht="16.5" x14ac:dyDescent="0.25">
      <c r="A76" s="35"/>
      <c r="B76" s="35"/>
      <c r="C76" s="35"/>
      <c r="D76" s="35"/>
      <c r="E76" s="151" t="str">
        <f>IF(A76&lt;&gt;"", VLOOKUP(A76, MEMBERS_INFO!$A$2:$B$21, 2, FALSE), "")</f>
        <v/>
      </c>
    </row>
    <row r="77" spans="1:5" ht="16.5" x14ac:dyDescent="0.25">
      <c r="A77" s="35"/>
      <c r="B77" s="35"/>
      <c r="C77" s="35"/>
      <c r="D77" s="35"/>
      <c r="E77" s="151" t="str">
        <f>IF(A77&lt;&gt;"", VLOOKUP(A77, MEMBERS_INFO!$A$2:$B$21, 2, FALSE), "")</f>
        <v/>
      </c>
    </row>
    <row r="78" spans="1:5" ht="16.5" x14ac:dyDescent="0.25">
      <c r="A78" s="35"/>
      <c r="B78" s="35"/>
      <c r="C78" s="35"/>
      <c r="D78" s="35"/>
      <c r="E78" s="151" t="str">
        <f>IF(A78&lt;&gt;"", VLOOKUP(A78, MEMBERS_INFO!$A$2:$B$21, 2, FALSE), "")</f>
        <v/>
      </c>
    </row>
    <row r="79" spans="1:5" ht="16.5" x14ac:dyDescent="0.25">
      <c r="A79" s="35"/>
      <c r="B79" s="35"/>
      <c r="C79" s="35"/>
      <c r="D79" s="35"/>
      <c r="E79" s="151" t="str">
        <f>IF(A79&lt;&gt;"", VLOOKUP(A79, MEMBERS_INFO!$A$2:$B$21, 2, FALSE), "")</f>
        <v/>
      </c>
    </row>
    <row r="80" spans="1:5" ht="16.5" x14ac:dyDescent="0.25">
      <c r="A80" s="35"/>
      <c r="B80" s="35"/>
      <c r="C80" s="35"/>
      <c r="D80" s="35"/>
      <c r="E80" s="151" t="str">
        <f>IF(A80&lt;&gt;"", VLOOKUP(A80, MEMBERS_INFO!$A$2:$B$21, 2, FALSE), "")</f>
        <v/>
      </c>
    </row>
    <row r="81" spans="1:5" ht="16.5" x14ac:dyDescent="0.25">
      <c r="A81" s="35"/>
      <c r="B81" s="35"/>
      <c r="C81" s="35"/>
      <c r="D81" s="35"/>
      <c r="E81" s="151" t="str">
        <f>IF(A81&lt;&gt;"", VLOOKUP(A81, MEMBERS_INFO!$A$2:$B$21, 2, FALSE), "")</f>
        <v/>
      </c>
    </row>
    <row r="82" spans="1:5" ht="16.5" x14ac:dyDescent="0.25">
      <c r="A82" s="35"/>
      <c r="B82" s="35"/>
      <c r="C82" s="35"/>
      <c r="D82" s="35"/>
      <c r="E82" s="151" t="str">
        <f>IF(A82&lt;&gt;"", VLOOKUP(A82, MEMBERS_INFO!$A$2:$B$21, 2, FALSE), "")</f>
        <v/>
      </c>
    </row>
    <row r="83" spans="1:5" ht="16.5" x14ac:dyDescent="0.25">
      <c r="A83" s="35"/>
      <c r="B83" s="35"/>
      <c r="C83" s="35"/>
      <c r="D83" s="35"/>
      <c r="E83" s="151" t="str">
        <f>IF(A83&lt;&gt;"", VLOOKUP(A83, MEMBERS_INFO!$A$2:$B$21, 2, FALSE), "")</f>
        <v/>
      </c>
    </row>
    <row r="84" spans="1:5" ht="16.5" x14ac:dyDescent="0.25">
      <c r="A84" s="35"/>
      <c r="B84" s="35"/>
      <c r="C84" s="35"/>
      <c r="D84" s="35"/>
      <c r="E84" s="151" t="str">
        <f>IF(A84&lt;&gt;"", VLOOKUP(A84, MEMBERS_INFO!$A$2:$B$21, 2, FALSE), "")</f>
        <v/>
      </c>
    </row>
    <row r="85" spans="1:5" ht="16.5" x14ac:dyDescent="0.25">
      <c r="A85" s="35"/>
      <c r="B85" s="35"/>
      <c r="C85" s="35"/>
      <c r="D85" s="35"/>
      <c r="E85" s="151" t="str">
        <f>IF(A85&lt;&gt;"", VLOOKUP(A85, MEMBERS_INFO!$A$2:$B$21, 2, FALSE), "")</f>
        <v/>
      </c>
    </row>
    <row r="86" spans="1:5" ht="16.5" x14ac:dyDescent="0.25">
      <c r="A86" s="35"/>
      <c r="B86" s="35"/>
      <c r="C86" s="35"/>
      <c r="D86" s="35"/>
      <c r="E86" s="151" t="str">
        <f>IF(A86&lt;&gt;"", VLOOKUP(A86, MEMBERS_INFO!$A$2:$B$21, 2, FALSE), "")</f>
        <v/>
      </c>
    </row>
    <row r="87" spans="1:5" ht="16.5" x14ac:dyDescent="0.25">
      <c r="A87" s="35"/>
      <c r="B87" s="35"/>
      <c r="C87" s="35"/>
      <c r="D87" s="35"/>
      <c r="E87" s="151" t="str">
        <f>IF(A87&lt;&gt;"", VLOOKUP(A87, MEMBERS_INFO!$A$2:$B$21, 2, FALSE), "")</f>
        <v/>
      </c>
    </row>
    <row r="88" spans="1:5" ht="16.5" x14ac:dyDescent="0.25">
      <c r="A88" s="35"/>
      <c r="B88" s="35"/>
      <c r="C88" s="35"/>
      <c r="D88" s="35"/>
      <c r="E88" s="151" t="str">
        <f>IF(A88&lt;&gt;"", VLOOKUP(A88, MEMBERS_INFO!$A$2:$B$21, 2, FALSE), "")</f>
        <v/>
      </c>
    </row>
    <row r="89" spans="1:5" ht="16.5" x14ac:dyDescent="0.25">
      <c r="A89" s="35"/>
      <c r="B89" s="35"/>
      <c r="C89" s="35"/>
      <c r="D89" s="35"/>
      <c r="E89" s="151" t="str">
        <f>IF(A89&lt;&gt;"", VLOOKUP(A89, MEMBERS_INFO!$A$2:$B$21, 2, FALSE), "")</f>
        <v/>
      </c>
    </row>
    <row r="90" spans="1:5" ht="16.5" x14ac:dyDescent="0.25">
      <c r="A90" s="35"/>
      <c r="B90" s="35"/>
      <c r="C90" s="35"/>
      <c r="D90" s="35"/>
      <c r="E90" s="151" t="str">
        <f>IF(A90&lt;&gt;"", VLOOKUP(A90, MEMBERS_INFO!$A$2:$B$21, 2, FALSE), "")</f>
        <v/>
      </c>
    </row>
    <row r="91" spans="1:5" ht="16.5" x14ac:dyDescent="0.25">
      <c r="A91" s="35"/>
      <c r="B91" s="35"/>
      <c r="C91" s="35"/>
      <c r="D91" s="35"/>
      <c r="E91" s="151" t="str">
        <f>IF(A91&lt;&gt;"", VLOOKUP(A91, MEMBERS_INFO!$A$2:$B$21, 2, FALSE), "")</f>
        <v/>
      </c>
    </row>
    <row r="92" spans="1:5" ht="16.5" x14ac:dyDescent="0.25">
      <c r="A92" s="35"/>
      <c r="B92" s="35"/>
      <c r="C92" s="35"/>
      <c r="D92" s="35"/>
      <c r="E92" s="151" t="str">
        <f>IF(A92&lt;&gt;"", VLOOKUP(A92, MEMBERS_INFO!$A$2:$B$21, 2, FALSE), "")</f>
        <v/>
      </c>
    </row>
    <row r="93" spans="1:5" ht="16.5" x14ac:dyDescent="0.25">
      <c r="A93" s="35"/>
      <c r="B93" s="35"/>
      <c r="C93" s="35"/>
      <c r="D93" s="35"/>
      <c r="E93" s="151" t="str">
        <f>IF(A93&lt;&gt;"", VLOOKUP(A93, MEMBERS_INFO!$A$2:$B$21, 2, FALSE), "")</f>
        <v/>
      </c>
    </row>
    <row r="94" spans="1:5" ht="16.5" x14ac:dyDescent="0.25">
      <c r="A94" s="35"/>
      <c r="B94" s="35"/>
      <c r="C94" s="35"/>
      <c r="D94" s="35"/>
      <c r="E94" s="151" t="str">
        <f>IF(A94&lt;&gt;"", VLOOKUP(A94, MEMBERS_INFO!$A$2:$B$21, 2, FALSE), "")</f>
        <v/>
      </c>
    </row>
    <row r="95" spans="1:5" ht="16.5" x14ac:dyDescent="0.25">
      <c r="A95" s="35"/>
      <c r="B95" s="35"/>
      <c r="C95" s="35"/>
      <c r="D95" s="35"/>
      <c r="E95" s="151" t="str">
        <f>IF(A95&lt;&gt;"", VLOOKUP(A95, MEMBERS_INFO!$A$2:$B$21, 2, FALSE), "")</f>
        <v/>
      </c>
    </row>
    <row r="96" spans="1:5" ht="16.5" x14ac:dyDescent="0.25">
      <c r="A96" s="35"/>
      <c r="B96" s="35"/>
      <c r="C96" s="35"/>
      <c r="D96" s="35"/>
      <c r="E96" s="151" t="str">
        <f>IF(A96&lt;&gt;"", VLOOKUP(A96, MEMBERS_INFO!$A$2:$B$21, 2, FALSE), "")</f>
        <v/>
      </c>
    </row>
    <row r="97" spans="1:5" ht="16.5" x14ac:dyDescent="0.25">
      <c r="A97" s="35"/>
      <c r="B97" s="35"/>
      <c r="C97" s="35"/>
      <c r="D97" s="35"/>
      <c r="E97" s="151" t="str">
        <f>IF(A97&lt;&gt;"", VLOOKUP(A97, MEMBERS_INFO!$A$2:$B$21, 2, FALSE), "")</f>
        <v/>
      </c>
    </row>
    <row r="98" spans="1:5" ht="16.5" x14ac:dyDescent="0.25">
      <c r="A98" s="35"/>
      <c r="B98" s="35"/>
      <c r="C98" s="35"/>
      <c r="D98" s="35"/>
      <c r="E98" s="151" t="str">
        <f>IF(A98&lt;&gt;"", VLOOKUP(A98, MEMBERS_INFO!$A$2:$B$21, 2, FALSE), "")</f>
        <v/>
      </c>
    </row>
    <row r="99" spans="1:5" ht="16.5" x14ac:dyDescent="0.25">
      <c r="A99" s="35"/>
      <c r="B99" s="35"/>
      <c r="C99" s="35"/>
      <c r="D99" s="35"/>
      <c r="E99" s="151" t="str">
        <f>IF(A99&lt;&gt;"", VLOOKUP(A99, MEMBERS_INFO!$A$2:$B$21, 2, FALSE), "")</f>
        <v/>
      </c>
    </row>
    <row r="100" spans="1:5" ht="16.5" x14ac:dyDescent="0.25">
      <c r="A100" s="35"/>
      <c r="B100" s="35"/>
      <c r="C100" s="35"/>
      <c r="D100" s="35"/>
      <c r="E100" s="151" t="str">
        <f>IF(A100&lt;&gt;"", VLOOKUP(A100, MEMBERS_INFO!$A$2:$B$21, 2, FALSE), "")</f>
        <v/>
      </c>
    </row>
    <row r="101" spans="1:5" ht="16.5" x14ac:dyDescent="0.25">
      <c r="A101" s="35"/>
      <c r="B101" s="35"/>
      <c r="C101" s="35"/>
      <c r="D101" s="35"/>
      <c r="E101" s="151" t="str">
        <f>IF(A101&lt;&gt;"", VLOOKUP(A101, MEMBERS_INFO!$A$2:$B$21, 2, FALSE), "")</f>
        <v/>
      </c>
    </row>
    <row r="102" spans="1:5" ht="16.5" x14ac:dyDescent="0.25">
      <c r="A102" s="35"/>
      <c r="B102" s="35"/>
      <c r="C102" s="35"/>
      <c r="D102" s="35"/>
      <c r="E102" s="151" t="str">
        <f>IF(A102&lt;&gt;"", VLOOKUP(A102, MEMBERS_INFO!$A$2:$B$21, 2, FALSE), "")</f>
        <v/>
      </c>
    </row>
    <row r="103" spans="1:5" ht="16.5" x14ac:dyDescent="0.25">
      <c r="A103" s="35"/>
      <c r="B103" s="35"/>
      <c r="C103" s="35"/>
      <c r="D103" s="35"/>
      <c r="E103" s="151" t="str">
        <f>IF(A103&lt;&gt;"", VLOOKUP(A103, MEMBERS_INFO!$A$2:$B$21, 2, FALSE), "")</f>
        <v/>
      </c>
    </row>
    <row r="104" spans="1:5" ht="16.5" x14ac:dyDescent="0.25">
      <c r="A104" s="35"/>
      <c r="B104" s="35"/>
      <c r="C104" s="35"/>
      <c r="D104" s="35"/>
      <c r="E104" s="151" t="str">
        <f>IF(A104&lt;&gt;"", VLOOKUP(A104, MEMBERS_INFO!$A$2:$B$21, 2, FALSE), "")</f>
        <v/>
      </c>
    </row>
    <row r="105" spans="1:5" ht="16.5" x14ac:dyDescent="0.25">
      <c r="A105" s="35"/>
      <c r="B105" s="35"/>
      <c r="C105" s="35"/>
      <c r="D105" s="35"/>
      <c r="E105" s="151" t="str">
        <f>IF(A105&lt;&gt;"", VLOOKUP(A105, MEMBERS_INFO!$A$2:$B$21, 2, FALSE), "")</f>
        <v/>
      </c>
    </row>
    <row r="106" spans="1:5" ht="16.5" x14ac:dyDescent="0.25">
      <c r="A106" s="35"/>
      <c r="B106" s="35"/>
      <c r="C106" s="35"/>
      <c r="D106" s="35"/>
      <c r="E106" s="151" t="str">
        <f>IF(A106&lt;&gt;"", VLOOKUP(A106, MEMBERS_INFO!$A$2:$B$21, 2, FALSE), "")</f>
        <v/>
      </c>
    </row>
    <row r="107" spans="1:5" ht="16.5" x14ac:dyDescent="0.25">
      <c r="A107" s="35"/>
      <c r="B107" s="35"/>
      <c r="C107" s="35"/>
      <c r="D107" s="35"/>
      <c r="E107" s="151" t="str">
        <f>IF(A107&lt;&gt;"", VLOOKUP(A107, MEMBERS_INFO!$A$2:$B$21, 2, FALSE), "")</f>
        <v/>
      </c>
    </row>
    <row r="108" spans="1:5" ht="16.5" x14ac:dyDescent="0.25">
      <c r="A108" s="35"/>
      <c r="B108" s="35"/>
      <c r="C108" s="35"/>
      <c r="D108" s="35"/>
      <c r="E108" s="151" t="str">
        <f>IF(A108&lt;&gt;"", VLOOKUP(A108, MEMBERS_INFO!$A$2:$B$21, 2, FALSE), "")</f>
        <v/>
      </c>
    </row>
    <row r="109" spans="1:5" ht="16.5" x14ac:dyDescent="0.25">
      <c r="A109" s="35"/>
      <c r="B109" s="35"/>
      <c r="C109" s="35"/>
      <c r="D109" s="35"/>
      <c r="E109" s="151" t="str">
        <f>IF(A109&lt;&gt;"", VLOOKUP(A109, MEMBERS_INFO!$A$2:$B$21, 2, FALSE), "")</f>
        <v/>
      </c>
    </row>
    <row r="110" spans="1:5" ht="16.5" x14ac:dyDescent="0.25">
      <c r="A110" s="35"/>
      <c r="B110" s="35"/>
      <c r="C110" s="35"/>
      <c r="D110" s="35"/>
      <c r="E110" s="151" t="str">
        <f>IF(A110&lt;&gt;"", VLOOKUP(A110, MEMBERS_INFO!$A$2:$B$21, 2, FALSE), "")</f>
        <v/>
      </c>
    </row>
    <row r="111" spans="1:5" ht="16.5" x14ac:dyDescent="0.25">
      <c r="A111" s="35"/>
      <c r="B111" s="35"/>
      <c r="C111" s="35"/>
      <c r="D111" s="35"/>
      <c r="E111" s="151" t="str">
        <f>IF(A111&lt;&gt;"", VLOOKUP(A111, MEMBERS_INFO!$A$2:$B$21, 2, FALSE), "")</f>
        <v/>
      </c>
    </row>
    <row r="112" spans="1:5" ht="16.5" x14ac:dyDescent="0.25">
      <c r="A112" s="35"/>
      <c r="B112" s="35"/>
      <c r="C112" s="35"/>
      <c r="D112" s="35"/>
      <c r="E112" s="151" t="str">
        <f>IF(A112&lt;&gt;"", VLOOKUP(A112, MEMBERS_INFO!$A$2:$B$21, 2, FALSE), "")</f>
        <v/>
      </c>
    </row>
    <row r="113" spans="1:5" ht="16.5" x14ac:dyDescent="0.25">
      <c r="A113" s="35"/>
      <c r="B113" s="35"/>
      <c r="C113" s="35"/>
      <c r="D113" s="35"/>
      <c r="E113" s="151" t="str">
        <f>IF(A113&lt;&gt;"", VLOOKUP(A113, MEMBERS_INFO!$A$2:$B$21, 2, FALSE), "")</f>
        <v/>
      </c>
    </row>
    <row r="114" spans="1:5" ht="16.5" x14ac:dyDescent="0.25">
      <c r="A114" s="35"/>
      <c r="B114" s="35"/>
      <c r="C114" s="35"/>
      <c r="D114" s="35"/>
      <c r="E114" s="151" t="str">
        <f>IF(A114&lt;&gt;"", VLOOKUP(A114, MEMBERS_INFO!$A$2:$B$21, 2, FALSE), "")</f>
        <v/>
      </c>
    </row>
    <row r="115" spans="1:5" ht="16.5" x14ac:dyDescent="0.25">
      <c r="A115" s="35"/>
      <c r="B115" s="35"/>
      <c r="C115" s="35"/>
      <c r="D115" s="35"/>
      <c r="E115" s="151" t="str">
        <f>IF(A115&lt;&gt;"", VLOOKUP(A115, MEMBERS_INFO!$A$2:$B$21, 2, FALSE), "")</f>
        <v/>
      </c>
    </row>
    <row r="116" spans="1:5" ht="16.5" x14ac:dyDescent="0.25">
      <c r="A116" s="35"/>
      <c r="B116" s="35"/>
      <c r="C116" s="35"/>
      <c r="D116" s="35"/>
      <c r="E116" s="151" t="str">
        <f>IF(A116&lt;&gt;"", VLOOKUP(A116, MEMBERS_INFO!$A$2:$B$21, 2, FALSE), "")</f>
        <v/>
      </c>
    </row>
    <row r="117" spans="1:5" ht="16.5" x14ac:dyDescent="0.25">
      <c r="A117" s="35"/>
      <c r="B117" s="35"/>
      <c r="C117" s="35"/>
      <c r="D117" s="35"/>
      <c r="E117" s="151" t="str">
        <f>IF(A117&lt;&gt;"", VLOOKUP(A117, MEMBERS_INFO!$A$2:$B$21, 2, FALSE), "")</f>
        <v/>
      </c>
    </row>
    <row r="118" spans="1:5" ht="16.5" x14ac:dyDescent="0.25">
      <c r="A118" s="35"/>
      <c r="B118" s="35"/>
      <c r="C118" s="35"/>
      <c r="D118" s="35"/>
      <c r="E118" s="151" t="str">
        <f>IF(A118&lt;&gt;"", VLOOKUP(A118, MEMBERS_INFO!$A$2:$B$21, 2, FALSE), "")</f>
        <v/>
      </c>
    </row>
    <row r="119" spans="1:5" ht="16.5" x14ac:dyDescent="0.25">
      <c r="A119" s="35"/>
      <c r="B119" s="35"/>
      <c r="C119" s="35"/>
      <c r="D119" s="35"/>
      <c r="E119" s="151" t="str">
        <f>IF(A119&lt;&gt;"", VLOOKUP(A119, MEMBERS_INFO!$A$2:$B$21, 2, FALSE), "")</f>
        <v/>
      </c>
    </row>
    <row r="120" spans="1:5" ht="16.5" x14ac:dyDescent="0.25">
      <c r="A120" s="35"/>
      <c r="B120" s="35"/>
      <c r="C120" s="35"/>
      <c r="D120" s="35"/>
      <c r="E120" s="151" t="str">
        <f>IF(A120&lt;&gt;"", VLOOKUP(A120, MEMBERS_INFO!$A$2:$B$21, 2, FALSE), "")</f>
        <v/>
      </c>
    </row>
    <row r="121" spans="1:5" ht="16.5" x14ac:dyDescent="0.25">
      <c r="A121" s="35"/>
      <c r="B121" s="35"/>
      <c r="C121" s="35"/>
      <c r="D121" s="35"/>
      <c r="E121" s="151" t="str">
        <f>IF(A121&lt;&gt;"", VLOOKUP(A121, MEMBERS_INFO!$A$2:$B$21, 2, FALSE), "")</f>
        <v/>
      </c>
    </row>
    <row r="122" spans="1:5" ht="16.5" x14ac:dyDescent="0.25">
      <c r="A122" s="35"/>
      <c r="B122" s="35"/>
      <c r="C122" s="35"/>
      <c r="D122" s="35"/>
      <c r="E122" s="151" t="str">
        <f>IF(A122&lt;&gt;"", VLOOKUP(A122, MEMBERS_INFO!$A$2:$B$21, 2, FALSE), "")</f>
        <v/>
      </c>
    </row>
    <row r="123" spans="1:5" ht="16.5" x14ac:dyDescent="0.25">
      <c r="A123" s="35"/>
      <c r="B123" s="35"/>
      <c r="C123" s="35"/>
      <c r="D123" s="35"/>
      <c r="E123" s="151" t="str">
        <f>IF(A123&lt;&gt;"", VLOOKUP(A123, MEMBERS_INFO!$A$2:$B$21, 2, FALSE), "")</f>
        <v/>
      </c>
    </row>
    <row r="124" spans="1:5" ht="16.5" x14ac:dyDescent="0.25">
      <c r="A124" s="35"/>
      <c r="B124" s="35"/>
      <c r="C124" s="35"/>
      <c r="D124" s="35"/>
      <c r="E124" s="151" t="str">
        <f>IF(A124&lt;&gt;"", VLOOKUP(A124, MEMBERS_INFO!$A$2:$B$21, 2, FALSE), "")</f>
        <v/>
      </c>
    </row>
    <row r="125" spans="1:5" ht="16.5" x14ac:dyDescent="0.25">
      <c r="A125" s="35"/>
      <c r="B125" s="35"/>
      <c r="C125" s="35"/>
      <c r="D125" s="35"/>
      <c r="E125" s="151" t="str">
        <f>IF(A125&lt;&gt;"", VLOOKUP(A125, MEMBERS_INFO!$A$2:$B$21, 2, FALSE), "")</f>
        <v/>
      </c>
    </row>
    <row r="126" spans="1:5" ht="16.5" x14ac:dyDescent="0.25">
      <c r="A126" s="35"/>
      <c r="B126" s="35"/>
      <c r="C126" s="35"/>
      <c r="D126" s="35"/>
      <c r="E126" s="151" t="str">
        <f>IF(A126&lt;&gt;"", VLOOKUP(A126, MEMBERS_INFO!$A$2:$B$21, 2, FALSE), "")</f>
        <v/>
      </c>
    </row>
    <row r="127" spans="1:5" ht="16.5" x14ac:dyDescent="0.25">
      <c r="A127" s="35"/>
      <c r="B127" s="35"/>
      <c r="C127" s="35"/>
      <c r="D127" s="35"/>
      <c r="E127" s="151" t="str">
        <f>IF(A127&lt;&gt;"", VLOOKUP(A127, MEMBERS_INFO!$A$2:$B$21, 2, FALSE), "")</f>
        <v/>
      </c>
    </row>
    <row r="128" spans="1:5" ht="16.5" x14ac:dyDescent="0.25">
      <c r="A128" s="35"/>
      <c r="B128" s="35"/>
      <c r="C128" s="35"/>
      <c r="D128" s="35"/>
      <c r="E128" s="151" t="str">
        <f>IF(A128&lt;&gt;"", VLOOKUP(A128, MEMBERS_INFO!$A$2:$B$21, 2, FALSE), "")</f>
        <v/>
      </c>
    </row>
    <row r="129" spans="1:5" ht="16.5" x14ac:dyDescent="0.25">
      <c r="A129" s="35"/>
      <c r="B129" s="35"/>
      <c r="C129" s="35"/>
      <c r="D129" s="35"/>
      <c r="E129" s="151" t="str">
        <f>IF(A129&lt;&gt;"", VLOOKUP(A129, MEMBERS_INFO!$A$2:$B$21, 2, FALSE), "")</f>
        <v/>
      </c>
    </row>
    <row r="130" spans="1:5" ht="16.5" x14ac:dyDescent="0.25">
      <c r="A130" s="35"/>
      <c r="B130" s="35"/>
      <c r="C130" s="35"/>
      <c r="D130" s="35"/>
      <c r="E130" s="151" t="str">
        <f>IF(A130&lt;&gt;"", VLOOKUP(A130, MEMBERS_INFO!$A$2:$B$21, 2, FALSE), "")</f>
        <v/>
      </c>
    </row>
    <row r="131" spans="1:5" ht="16.5" x14ac:dyDescent="0.25">
      <c r="A131" s="35"/>
      <c r="B131" s="35"/>
      <c r="C131" s="35"/>
      <c r="D131" s="35"/>
      <c r="E131" s="151" t="str">
        <f>IF(A131&lt;&gt;"", VLOOKUP(A131, MEMBERS_INFO!$A$2:$B$21, 2, FALSE), "")</f>
        <v/>
      </c>
    </row>
    <row r="132" spans="1:5" ht="16.5" x14ac:dyDescent="0.25">
      <c r="A132" s="35"/>
      <c r="B132" s="35"/>
      <c r="C132" s="35"/>
      <c r="D132" s="35"/>
      <c r="E132" s="151" t="str">
        <f>IF(A132&lt;&gt;"", VLOOKUP(A132, MEMBERS_INFO!$A$2:$B$21, 2, FALSE), "")</f>
        <v/>
      </c>
    </row>
    <row r="133" spans="1:5" ht="16.5" x14ac:dyDescent="0.25">
      <c r="A133" s="35"/>
      <c r="B133" s="35"/>
      <c r="C133" s="35"/>
      <c r="D133" s="35"/>
      <c r="E133" s="151" t="str">
        <f>IF(A133&lt;&gt;"", VLOOKUP(A133, MEMBERS_INFO!$A$2:$B$21, 2, FALSE), "")</f>
        <v/>
      </c>
    </row>
    <row r="134" spans="1:5" ht="16.5" x14ac:dyDescent="0.25">
      <c r="A134" s="35"/>
      <c r="B134" s="35"/>
      <c r="C134" s="35"/>
      <c r="D134" s="35"/>
      <c r="E134" s="151" t="str">
        <f>IF(A134&lt;&gt;"", VLOOKUP(A134, MEMBERS_INFO!$A$2:$B$21, 2, FALSE), "")</f>
        <v/>
      </c>
    </row>
    <row r="135" spans="1:5" ht="16.5" x14ac:dyDescent="0.25">
      <c r="A135" s="35"/>
      <c r="B135" s="35"/>
      <c r="C135" s="35"/>
      <c r="D135" s="35"/>
      <c r="E135" s="151" t="str">
        <f>IF(A135&lt;&gt;"", VLOOKUP(A135, MEMBERS_INFO!$A$2:$B$21, 2, FALSE), "")</f>
        <v/>
      </c>
    </row>
    <row r="136" spans="1:5" ht="16.5" x14ac:dyDescent="0.25">
      <c r="A136" s="35"/>
      <c r="B136" s="35"/>
      <c r="C136" s="35"/>
      <c r="D136" s="35"/>
      <c r="E136" s="151" t="str">
        <f>IF(A136&lt;&gt;"", VLOOKUP(A136, MEMBERS_INFO!$A$2:$B$21, 2, FALSE), "")</f>
        <v/>
      </c>
    </row>
    <row r="137" spans="1:5" ht="16.5" x14ac:dyDescent="0.25">
      <c r="A137" s="35"/>
      <c r="B137" s="35"/>
      <c r="C137" s="35"/>
      <c r="D137" s="35"/>
      <c r="E137" s="151" t="str">
        <f>IF(A137&lt;&gt;"", VLOOKUP(A137, MEMBERS_INFO!$A$2:$B$21, 2, FALSE), "")</f>
        <v/>
      </c>
    </row>
    <row r="138" spans="1:5" ht="16.5" x14ac:dyDescent="0.25">
      <c r="A138" s="35"/>
      <c r="B138" s="35"/>
      <c r="C138" s="35"/>
      <c r="D138" s="35"/>
      <c r="E138" s="151" t="str">
        <f>IF(A138&lt;&gt;"", VLOOKUP(A138, MEMBERS_INFO!$A$2:$B$21, 2, FALSE), "")</f>
        <v/>
      </c>
    </row>
    <row r="139" spans="1:5" ht="16.5" x14ac:dyDescent="0.25">
      <c r="A139" s="35"/>
      <c r="B139" s="35"/>
      <c r="C139" s="35"/>
      <c r="D139" s="35"/>
      <c r="E139" s="151" t="str">
        <f>IF(A139&lt;&gt;"", VLOOKUP(A139, MEMBERS_INFO!$A$2:$B$21, 2, FALSE), "")</f>
        <v/>
      </c>
    </row>
    <row r="140" spans="1:5" ht="16.5" x14ac:dyDescent="0.25">
      <c r="A140" s="35"/>
      <c r="B140" s="35"/>
      <c r="C140" s="35"/>
      <c r="D140" s="35"/>
      <c r="E140" s="151" t="str">
        <f>IF(A140&lt;&gt;"", VLOOKUP(A140, MEMBERS_INFO!$A$2:$B$21, 2, FALSE), "")</f>
        <v/>
      </c>
    </row>
    <row r="141" spans="1:5" ht="16.5" x14ac:dyDescent="0.25">
      <c r="A141" s="35"/>
      <c r="B141" s="35"/>
      <c r="C141" s="35"/>
      <c r="D141" s="35"/>
      <c r="E141" s="151" t="str">
        <f>IF(A141&lt;&gt;"", VLOOKUP(A141, MEMBERS_INFO!$A$2:$B$21, 2, FALSE), "")</f>
        <v/>
      </c>
    </row>
    <row r="142" spans="1:5" ht="16.5" x14ac:dyDescent="0.25">
      <c r="A142" s="35"/>
      <c r="B142" s="35"/>
      <c r="C142" s="35"/>
      <c r="D142" s="35"/>
      <c r="E142" s="151" t="str">
        <f>IF(A142&lt;&gt;"", VLOOKUP(A142, MEMBERS_INFO!$A$2:$B$21, 2, FALSE), "")</f>
        <v/>
      </c>
    </row>
    <row r="143" spans="1:5" ht="16.5" x14ac:dyDescent="0.25">
      <c r="A143" s="35"/>
      <c r="B143" s="35"/>
      <c r="C143" s="35"/>
      <c r="D143" s="35"/>
      <c r="E143" s="151" t="str">
        <f>IF(A143&lt;&gt;"", VLOOKUP(A143, MEMBERS_INFO!$A$2:$B$21, 2, FALSE), "")</f>
        <v/>
      </c>
    </row>
    <row r="144" spans="1:5" ht="16.5" x14ac:dyDescent="0.25">
      <c r="A144" s="35"/>
      <c r="B144" s="35"/>
      <c r="C144" s="35"/>
      <c r="D144" s="35"/>
      <c r="E144" s="151" t="str">
        <f>IF(A144&lt;&gt;"", VLOOKUP(A144, MEMBERS_INFO!$A$2:$B$21, 2, FALSE), "")</f>
        <v/>
      </c>
    </row>
    <row r="145" spans="1:5" ht="16.5" x14ac:dyDescent="0.25">
      <c r="A145" s="35"/>
      <c r="B145" s="35"/>
      <c r="C145" s="35"/>
      <c r="D145" s="35"/>
      <c r="E145" s="151" t="str">
        <f>IF(A145&lt;&gt;"", VLOOKUP(A145, MEMBERS_INFO!$A$2:$B$21, 2, FALSE), "")</f>
        <v/>
      </c>
    </row>
    <row r="146" spans="1:5" ht="16.5" x14ac:dyDescent="0.25">
      <c r="A146" s="35"/>
      <c r="B146" s="35"/>
      <c r="C146" s="35"/>
      <c r="D146" s="35"/>
      <c r="E146" s="151" t="str">
        <f>IF(A146&lt;&gt;"", VLOOKUP(A146, MEMBERS_INFO!$A$2:$B$21, 2, FALSE), "")</f>
        <v/>
      </c>
    </row>
    <row r="147" spans="1:5" ht="16.5" x14ac:dyDescent="0.25">
      <c r="A147" s="35"/>
      <c r="B147" s="35"/>
      <c r="C147" s="35"/>
      <c r="D147" s="35"/>
      <c r="E147" s="151" t="str">
        <f>IF(A147&lt;&gt;"", VLOOKUP(A147, MEMBERS_INFO!$A$2:$B$21, 2, FALSE), "")</f>
        <v/>
      </c>
    </row>
    <row r="148" spans="1:5" ht="16.5" x14ac:dyDescent="0.25">
      <c r="A148" s="35"/>
      <c r="B148" s="35"/>
      <c r="C148" s="35"/>
      <c r="D148" s="35"/>
      <c r="E148" s="151" t="str">
        <f>IF(A148&lt;&gt;"", VLOOKUP(A148, MEMBERS_INFO!$A$2:$B$21, 2, FALSE), "")</f>
        <v/>
      </c>
    </row>
    <row r="149" spans="1:5" ht="16.5" x14ac:dyDescent="0.25">
      <c r="A149" s="35"/>
      <c r="B149" s="35"/>
      <c r="C149" s="35"/>
      <c r="D149" s="35"/>
      <c r="E149" s="151" t="str">
        <f>IF(A149&lt;&gt;"", VLOOKUP(A149, MEMBERS_INFO!$A$2:$B$21, 2, FALSE), "")</f>
        <v/>
      </c>
    </row>
    <row r="150" spans="1:5" ht="16.5" x14ac:dyDescent="0.25">
      <c r="A150" s="35"/>
      <c r="B150" s="35"/>
      <c r="C150" s="35"/>
      <c r="D150" s="35"/>
      <c r="E150" s="151" t="str">
        <f>IF(A150&lt;&gt;"", VLOOKUP(A150, MEMBERS_INFO!$A$2:$B$21, 2, FALSE), "")</f>
        <v/>
      </c>
    </row>
    <row r="151" spans="1:5" ht="16.5" x14ac:dyDescent="0.25">
      <c r="A151" s="35"/>
      <c r="B151" s="35"/>
      <c r="C151" s="35"/>
      <c r="D151" s="35"/>
      <c r="E151" s="151" t="str">
        <f>IF(A151&lt;&gt;"", VLOOKUP(A151, MEMBERS_INFO!$A$2:$B$21, 2, FALSE), "")</f>
        <v/>
      </c>
    </row>
    <row r="152" spans="1:5" ht="16.5" x14ac:dyDescent="0.25">
      <c r="A152" s="35"/>
      <c r="B152" s="35"/>
      <c r="C152" s="35"/>
      <c r="D152" s="35"/>
      <c r="E152" s="151" t="str">
        <f>IF(A152&lt;&gt;"", VLOOKUP(A152, MEMBERS_INFO!$A$2:$B$21, 2, FALSE), "")</f>
        <v/>
      </c>
    </row>
    <row r="153" spans="1:5" ht="16.5" x14ac:dyDescent="0.25">
      <c r="A153" s="35"/>
      <c r="B153" s="35"/>
      <c r="C153" s="35"/>
      <c r="D153" s="35"/>
      <c r="E153" s="151" t="str">
        <f>IF(A153&lt;&gt;"", VLOOKUP(A153, MEMBERS_INFO!$A$2:$B$21, 2, FALSE), "")</f>
        <v/>
      </c>
    </row>
    <row r="154" spans="1:5" ht="16.5" x14ac:dyDescent="0.25">
      <c r="A154" s="35"/>
      <c r="B154" s="35"/>
      <c r="C154" s="35"/>
      <c r="D154" s="35"/>
      <c r="E154" s="151" t="str">
        <f>IF(A154&lt;&gt;"", VLOOKUP(A154, MEMBERS_INFO!$A$2:$B$21, 2, FALSE), "")</f>
        <v/>
      </c>
    </row>
    <row r="155" spans="1:5" ht="16.5" x14ac:dyDescent="0.25">
      <c r="A155" s="35"/>
      <c r="B155" s="35"/>
      <c r="C155" s="35"/>
      <c r="D155" s="35"/>
      <c r="E155" s="151" t="str">
        <f>IF(A155&lt;&gt;"", VLOOKUP(A155, MEMBERS_INFO!$A$2:$B$21, 2, FALSE), "")</f>
        <v/>
      </c>
    </row>
    <row r="156" spans="1:5" ht="16.5" x14ac:dyDescent="0.25">
      <c r="A156" s="35"/>
      <c r="B156" s="35"/>
      <c r="C156" s="35"/>
      <c r="D156" s="35"/>
      <c r="E156" s="151" t="str">
        <f>IF(A156&lt;&gt;"", VLOOKUP(A156, MEMBERS_INFO!$A$2:$B$21, 2, FALSE), "")</f>
        <v/>
      </c>
    </row>
    <row r="157" spans="1:5" ht="16.5" x14ac:dyDescent="0.25">
      <c r="A157" s="35"/>
      <c r="B157" s="35"/>
      <c r="C157" s="35"/>
      <c r="D157" s="35"/>
      <c r="E157" s="151" t="str">
        <f>IF(A157&lt;&gt;"", VLOOKUP(A157, MEMBERS_INFO!$A$2:$B$21, 2, FALSE), "")</f>
        <v/>
      </c>
    </row>
    <row r="158" spans="1:5" ht="16.5" x14ac:dyDescent="0.25">
      <c r="A158" s="35"/>
      <c r="B158" s="35"/>
      <c r="C158" s="35"/>
      <c r="D158" s="35"/>
      <c r="E158" s="151" t="str">
        <f>IF(A158&lt;&gt;"", VLOOKUP(A158, MEMBERS_INFO!$A$2:$B$21, 2, FALSE), "")</f>
        <v/>
      </c>
    </row>
    <row r="159" spans="1:5" ht="16.5" x14ac:dyDescent="0.25">
      <c r="A159" s="35"/>
      <c r="B159" s="35"/>
      <c r="C159" s="35"/>
      <c r="D159" s="35"/>
      <c r="E159" s="151" t="str">
        <f>IF(A159&lt;&gt;"", VLOOKUP(A159, MEMBERS_INFO!$A$2:$B$21, 2, FALSE), "")</f>
        <v/>
      </c>
    </row>
    <row r="160" spans="1:5" ht="16.5" x14ac:dyDescent="0.25">
      <c r="A160" s="35"/>
      <c r="B160" s="35"/>
      <c r="C160" s="35"/>
      <c r="D160" s="35"/>
      <c r="E160" s="151" t="str">
        <f>IF(A160&lt;&gt;"", VLOOKUP(A160, MEMBERS_INFO!$A$2:$B$21, 2, FALSE), "")</f>
        <v/>
      </c>
    </row>
    <row r="161" spans="1:5" ht="16.5" x14ac:dyDescent="0.25">
      <c r="A161" s="35"/>
      <c r="B161" s="35"/>
      <c r="C161" s="35"/>
      <c r="D161" s="35"/>
      <c r="E161" s="151" t="str">
        <f>IF(A161&lt;&gt;"", VLOOKUP(A161, MEMBERS_INFO!$A$2:$B$21, 2, FALSE), "")</f>
        <v/>
      </c>
    </row>
    <row r="162" spans="1:5" ht="16.5" x14ac:dyDescent="0.25">
      <c r="A162" s="35"/>
      <c r="B162" s="35"/>
      <c r="C162" s="35"/>
      <c r="D162" s="35"/>
      <c r="E162" s="151" t="str">
        <f>IF(A162&lt;&gt;"", VLOOKUP(A162, MEMBERS_INFO!$A$2:$B$21, 2, FALSE), "")</f>
        <v/>
      </c>
    </row>
    <row r="163" spans="1:5" ht="16.5" x14ac:dyDescent="0.25">
      <c r="A163" s="35"/>
      <c r="B163" s="35"/>
      <c r="C163" s="35"/>
      <c r="D163" s="35"/>
      <c r="E163" s="151" t="str">
        <f>IF(A163&lt;&gt;"", VLOOKUP(A163, MEMBERS_INFO!$A$2:$B$21, 2, FALSE), "")</f>
        <v/>
      </c>
    </row>
    <row r="164" spans="1:5" ht="16.5" x14ac:dyDescent="0.25">
      <c r="A164" s="35"/>
      <c r="B164" s="35"/>
      <c r="C164" s="35"/>
      <c r="D164" s="35"/>
      <c r="E164" s="151" t="str">
        <f>IF(A164&lt;&gt;"", VLOOKUP(A164, MEMBERS_INFO!$A$2:$B$21, 2, FALSE), "")</f>
        <v/>
      </c>
    </row>
    <row r="165" spans="1:5" ht="16.5" x14ac:dyDescent="0.25">
      <c r="A165" s="35"/>
      <c r="B165" s="35"/>
      <c r="C165" s="35"/>
      <c r="D165" s="35"/>
      <c r="E165" s="151" t="str">
        <f>IF(A165&lt;&gt;"", VLOOKUP(A165, MEMBERS_INFO!$A$2:$B$21, 2, FALSE), "")</f>
        <v/>
      </c>
    </row>
    <row r="166" spans="1:5" ht="16.5" x14ac:dyDescent="0.25">
      <c r="A166" s="35"/>
      <c r="B166" s="35"/>
      <c r="C166" s="35"/>
      <c r="D166" s="35"/>
      <c r="E166" s="151" t="str">
        <f>IF(A166&lt;&gt;"", VLOOKUP(A166, MEMBERS_INFO!$A$2:$B$21, 2, FALSE), "")</f>
        <v/>
      </c>
    </row>
    <row r="167" spans="1:5" ht="16.5" x14ac:dyDescent="0.25">
      <c r="A167" s="35"/>
      <c r="B167" s="35"/>
      <c r="C167" s="35"/>
      <c r="D167" s="35"/>
      <c r="E167" s="151" t="str">
        <f>IF(A167&lt;&gt;"", VLOOKUP(A167, MEMBERS_INFO!$A$2:$B$21, 2, FALSE), "")</f>
        <v/>
      </c>
    </row>
    <row r="168" spans="1:5" ht="16.5" x14ac:dyDescent="0.25">
      <c r="A168" s="35"/>
      <c r="B168" s="35"/>
      <c r="C168" s="35"/>
      <c r="D168" s="35"/>
      <c r="E168" s="151" t="str">
        <f>IF(A168&lt;&gt;"", VLOOKUP(A168, MEMBERS_INFO!$A$2:$B$21, 2, FALSE), "")</f>
        <v/>
      </c>
    </row>
    <row r="169" spans="1:5" ht="16.5" x14ac:dyDescent="0.25">
      <c r="A169" s="35"/>
      <c r="B169" s="35"/>
      <c r="C169" s="35"/>
      <c r="D169" s="35"/>
      <c r="E169" s="151" t="str">
        <f>IF(A169&lt;&gt;"", VLOOKUP(A169, MEMBERS_INFO!$A$2:$B$21, 2, FALSE), "")</f>
        <v/>
      </c>
    </row>
    <row r="170" spans="1:5" ht="16.5" x14ac:dyDescent="0.25">
      <c r="A170" s="35"/>
      <c r="B170" s="35"/>
      <c r="C170" s="35"/>
      <c r="D170" s="35"/>
      <c r="E170" s="151" t="str">
        <f>IF(A170&lt;&gt;"", VLOOKUP(A170, MEMBERS_INFO!$A$2:$B$21, 2, FALSE), "")</f>
        <v/>
      </c>
    </row>
    <row r="171" spans="1:5" ht="16.5" x14ac:dyDescent="0.25">
      <c r="A171" s="35"/>
      <c r="B171" s="35"/>
      <c r="C171" s="35"/>
      <c r="D171" s="35"/>
      <c r="E171" s="151" t="str">
        <f>IF(A171&lt;&gt;"", VLOOKUP(A171, MEMBERS_INFO!$A$2:$B$21, 2, FALSE), "")</f>
        <v/>
      </c>
    </row>
    <row r="172" spans="1:5" ht="16.5" x14ac:dyDescent="0.25">
      <c r="A172" s="35"/>
      <c r="B172" s="35"/>
      <c r="C172" s="35"/>
      <c r="D172" s="35"/>
      <c r="E172" s="151" t="str">
        <f>IF(A172&lt;&gt;"", VLOOKUP(A172, MEMBERS_INFO!$A$2:$B$21, 2, FALSE), "")</f>
        <v/>
      </c>
    </row>
    <row r="173" spans="1:5" ht="16.5" x14ac:dyDescent="0.25">
      <c r="A173" s="35"/>
      <c r="B173" s="35"/>
      <c r="C173" s="35"/>
      <c r="D173" s="35"/>
      <c r="E173" s="151" t="str">
        <f>IF(A173&lt;&gt;"", VLOOKUP(A173, MEMBERS_INFO!$A$2:$B$21, 2, FALSE), "")</f>
        <v/>
      </c>
    </row>
    <row r="174" spans="1:5" ht="16.5" x14ac:dyDescent="0.25">
      <c r="A174" s="35"/>
      <c r="B174" s="35"/>
      <c r="C174" s="35"/>
      <c r="D174" s="35"/>
      <c r="E174" s="151" t="str">
        <f>IF(A174&lt;&gt;"", VLOOKUP(A174, MEMBERS_INFO!$A$2:$B$21, 2, FALSE), "")</f>
        <v/>
      </c>
    </row>
    <row r="175" spans="1:5" ht="16.5" x14ac:dyDescent="0.25">
      <c r="A175" s="35"/>
      <c r="B175" s="35"/>
      <c r="C175" s="35"/>
      <c r="D175" s="35"/>
      <c r="E175" s="151" t="str">
        <f>IF(A175&lt;&gt;"", VLOOKUP(A175, MEMBERS_INFO!$A$2:$B$21, 2, FALSE), "")</f>
        <v/>
      </c>
    </row>
    <row r="176" spans="1:5" ht="16.5" x14ac:dyDescent="0.25">
      <c r="A176" s="35"/>
      <c r="B176" s="35"/>
      <c r="C176" s="35"/>
      <c r="D176" s="35"/>
      <c r="E176" s="151" t="str">
        <f>IF(A176&lt;&gt;"", VLOOKUP(A176, MEMBERS_INFO!$A$2:$B$21, 2, FALSE), "")</f>
        <v/>
      </c>
    </row>
    <row r="177" spans="1:5" ht="16.5" x14ac:dyDescent="0.25">
      <c r="A177" s="35"/>
      <c r="B177" s="35"/>
      <c r="C177" s="35"/>
      <c r="D177" s="35"/>
      <c r="E177" s="151" t="str">
        <f>IF(A177&lt;&gt;"", VLOOKUP(A177, MEMBERS_INFO!$A$2:$B$21, 2, FALSE), "")</f>
        <v/>
      </c>
    </row>
    <row r="178" spans="1:5" ht="16.5" x14ac:dyDescent="0.25">
      <c r="A178" s="35"/>
      <c r="B178" s="35"/>
      <c r="C178" s="35"/>
      <c r="D178" s="35"/>
      <c r="E178" s="151" t="str">
        <f>IF(A178&lt;&gt;"", VLOOKUP(A178, MEMBERS_INFO!$A$2:$B$21, 2, FALSE), "")</f>
        <v/>
      </c>
    </row>
    <row r="179" spans="1:5" ht="16.5" x14ac:dyDescent="0.25">
      <c r="A179" s="35"/>
      <c r="B179" s="35"/>
      <c r="C179" s="35"/>
      <c r="D179" s="35"/>
      <c r="E179" s="151" t="str">
        <f>IF(A179&lt;&gt;"", VLOOKUP(A179, MEMBERS_INFO!$A$2:$B$21, 2, FALSE), "")</f>
        <v/>
      </c>
    </row>
    <row r="180" spans="1:5" ht="16.5" x14ac:dyDescent="0.25">
      <c r="A180" s="35"/>
      <c r="B180" s="35"/>
      <c r="C180" s="35"/>
      <c r="D180" s="35"/>
      <c r="E180" s="151" t="str">
        <f>IF(A180&lt;&gt;"", VLOOKUP(A180, MEMBERS_INFO!$A$2:$B$21, 2, FALSE), "")</f>
        <v/>
      </c>
    </row>
    <row r="181" spans="1:5" ht="16.5" x14ac:dyDescent="0.25">
      <c r="A181" s="35"/>
      <c r="B181" s="35"/>
      <c r="C181" s="35"/>
      <c r="D181" s="35"/>
      <c r="E181" s="151" t="str">
        <f>IF(A181&lt;&gt;"", VLOOKUP(A181, MEMBERS_INFO!$A$2:$B$21, 2, FALSE), "")</f>
        <v/>
      </c>
    </row>
    <row r="182" spans="1:5" ht="16.5" x14ac:dyDescent="0.25">
      <c r="A182" s="35"/>
      <c r="B182" s="35"/>
      <c r="C182" s="35"/>
      <c r="D182" s="35"/>
      <c r="E182" s="151" t="str">
        <f>IF(A182&lt;&gt;"", VLOOKUP(A182, MEMBERS_INFO!$A$2:$B$21, 2, FALSE), "")</f>
        <v/>
      </c>
    </row>
    <row r="183" spans="1:5" ht="16.5" x14ac:dyDescent="0.25">
      <c r="A183" s="35"/>
      <c r="B183" s="35"/>
      <c r="C183" s="35"/>
      <c r="D183" s="35"/>
      <c r="E183" s="151" t="str">
        <f>IF(A183&lt;&gt;"", VLOOKUP(A183, MEMBERS_INFO!$A$2:$B$21, 2, FALSE), "")</f>
        <v/>
      </c>
    </row>
    <row r="184" spans="1:5" ht="16.5" x14ac:dyDescent="0.25">
      <c r="A184" s="35"/>
      <c r="B184" s="35"/>
      <c r="C184" s="35"/>
      <c r="D184" s="35"/>
      <c r="E184" s="151" t="str">
        <f>IF(A184&lt;&gt;"", VLOOKUP(A184, MEMBERS_INFO!$A$2:$B$21, 2, FALSE), "")</f>
        <v/>
      </c>
    </row>
    <row r="185" spans="1:5" ht="16.5" x14ac:dyDescent="0.25">
      <c r="A185" s="35"/>
      <c r="B185" s="35"/>
      <c r="C185" s="35"/>
      <c r="D185" s="35"/>
      <c r="E185" s="151" t="str">
        <f>IF(A185&lt;&gt;"", VLOOKUP(A185, MEMBERS_INFO!$A$2:$B$21, 2, FALSE), "")</f>
        <v/>
      </c>
    </row>
    <row r="186" spans="1:5" ht="16.5" x14ac:dyDescent="0.25">
      <c r="A186" s="35"/>
      <c r="B186" s="35"/>
      <c r="C186" s="35"/>
      <c r="D186" s="35"/>
      <c r="E186" s="151" t="str">
        <f>IF(A186&lt;&gt;"", VLOOKUP(A186, MEMBERS_INFO!$A$2:$B$21, 2, FALSE), "")</f>
        <v/>
      </c>
    </row>
    <row r="187" spans="1:5" ht="16.5" x14ac:dyDescent="0.25">
      <c r="A187" s="35"/>
      <c r="B187" s="35"/>
      <c r="C187" s="35"/>
      <c r="D187" s="35"/>
      <c r="E187" s="151" t="str">
        <f>IF(A187&lt;&gt;"", VLOOKUP(A187, MEMBERS_INFO!$A$2:$B$21, 2, FALSE), "")</f>
        <v/>
      </c>
    </row>
    <row r="188" spans="1:5" ht="16.5" x14ac:dyDescent="0.25">
      <c r="A188" s="35"/>
      <c r="B188" s="35"/>
      <c r="C188" s="35"/>
      <c r="D188" s="35"/>
      <c r="E188" s="151" t="str">
        <f>IF(A188&lt;&gt;"", VLOOKUP(A188, MEMBERS_INFO!$A$2:$B$21, 2, FALSE), "")</f>
        <v/>
      </c>
    </row>
    <row r="189" spans="1:5" ht="16.5" x14ac:dyDescent="0.25">
      <c r="A189" s="35"/>
      <c r="B189" s="35"/>
      <c r="C189" s="35"/>
      <c r="D189" s="35"/>
      <c r="E189" s="151" t="str">
        <f>IF(A189&lt;&gt;"", VLOOKUP(A189, MEMBERS_INFO!$A$2:$B$21, 2, FALSE), "")</f>
        <v/>
      </c>
    </row>
    <row r="190" spans="1:5" ht="16.5" x14ac:dyDescent="0.25">
      <c r="A190" s="35"/>
      <c r="B190" s="35"/>
      <c r="C190" s="35"/>
      <c r="D190" s="35"/>
      <c r="E190" s="151" t="str">
        <f>IF(A190&lt;&gt;"", VLOOKUP(A190, MEMBERS_INFO!$A$2:$B$21, 2, FALSE), "")</f>
        <v/>
      </c>
    </row>
    <row r="191" spans="1:5" ht="16.5" x14ac:dyDescent="0.25">
      <c r="A191" s="35"/>
      <c r="B191" s="35"/>
      <c r="C191" s="35"/>
      <c r="D191" s="35"/>
      <c r="E191" s="151" t="str">
        <f>IF(A191&lt;&gt;"", VLOOKUP(A191, MEMBERS_INFO!$A$2:$B$21, 2, FALSE), "")</f>
        <v/>
      </c>
    </row>
    <row r="192" spans="1:5" ht="16.5" x14ac:dyDescent="0.25">
      <c r="A192" s="35"/>
      <c r="B192" s="35"/>
      <c r="C192" s="35"/>
      <c r="D192" s="35"/>
      <c r="E192" s="151" t="str">
        <f>IF(A192&lt;&gt;"", VLOOKUP(A192, MEMBERS_INFO!$A$2:$B$21, 2, FALSE), "")</f>
        <v/>
      </c>
    </row>
    <row r="193" spans="1:5" ht="16.5" x14ac:dyDescent="0.25">
      <c r="A193" s="35"/>
      <c r="B193" s="35"/>
      <c r="C193" s="35"/>
      <c r="D193" s="35"/>
      <c r="E193" s="151" t="str">
        <f>IF(A193&lt;&gt;"", VLOOKUP(A193, MEMBERS_INFO!$A$2:$B$21, 2, FALSE), "")</f>
        <v/>
      </c>
    </row>
    <row r="194" spans="1:5" ht="16.5" x14ac:dyDescent="0.25">
      <c r="A194" s="35"/>
      <c r="B194" s="35"/>
      <c r="C194" s="35"/>
      <c r="D194" s="35"/>
      <c r="E194" s="151" t="str">
        <f>IF(A194&lt;&gt;"", VLOOKUP(A194, MEMBERS_INFO!$A$2:$B$21, 2, FALSE), "")</f>
        <v/>
      </c>
    </row>
    <row r="195" spans="1:5" ht="16.5" x14ac:dyDescent="0.25">
      <c r="A195" s="35"/>
      <c r="B195" s="35"/>
      <c r="C195" s="35"/>
      <c r="D195" s="35"/>
      <c r="E195" s="151" t="str">
        <f>IF(A195&lt;&gt;"", VLOOKUP(A195, MEMBERS_INFO!$A$2:$B$21, 2, FALSE), "")</f>
        <v/>
      </c>
    </row>
    <row r="196" spans="1:5" ht="16.5" x14ac:dyDescent="0.25">
      <c r="A196" s="35"/>
      <c r="B196" s="35"/>
      <c r="C196" s="35"/>
      <c r="D196" s="35"/>
      <c r="E196" s="151" t="str">
        <f>IF(A196&lt;&gt;"", VLOOKUP(A196, MEMBERS_INFO!$A$2:$B$21, 2, FALSE), "")</f>
        <v/>
      </c>
    </row>
    <row r="197" spans="1:5" ht="16.5" x14ac:dyDescent="0.25">
      <c r="A197" s="35"/>
      <c r="B197" s="35"/>
      <c r="C197" s="35"/>
      <c r="D197" s="35"/>
      <c r="E197" s="151" t="str">
        <f>IF(A197&lt;&gt;"", VLOOKUP(A197, MEMBERS_INFO!$A$2:$B$21, 2, FALSE), "")</f>
        <v/>
      </c>
    </row>
    <row r="198" spans="1:5" ht="16.5" x14ac:dyDescent="0.25">
      <c r="A198" s="35"/>
      <c r="B198" s="35"/>
      <c r="C198" s="35"/>
      <c r="D198" s="35"/>
      <c r="E198" s="151" t="str">
        <f>IF(A198&lt;&gt;"", VLOOKUP(A198, MEMBERS_INFO!$A$2:$B$21, 2, FALSE), "")</f>
        <v/>
      </c>
    </row>
    <row r="199" spans="1:5" ht="16.5" x14ac:dyDescent="0.25">
      <c r="A199" s="35"/>
      <c r="B199" s="35"/>
      <c r="C199" s="35"/>
      <c r="D199" s="35"/>
      <c r="E199" s="151" t="str">
        <f>IF(A199&lt;&gt;"", VLOOKUP(A199, MEMBERS_INFO!$A$2:$B$21, 2, FALSE), "")</f>
        <v/>
      </c>
    </row>
    <row r="200" spans="1:5" ht="16.5" x14ac:dyDescent="0.25">
      <c r="A200" s="35"/>
      <c r="B200" s="35"/>
      <c r="C200" s="35"/>
      <c r="D200" s="35"/>
      <c r="E200" s="151" t="str">
        <f>IF(A200&lt;&gt;"", VLOOKUP(A200, MEMBERS_INFO!$A$2:$B$21, 2, FALSE), "")</f>
        <v/>
      </c>
    </row>
    <row r="201" spans="1:5" ht="16.5" x14ac:dyDescent="0.25">
      <c r="A201" s="35"/>
      <c r="B201" s="35"/>
      <c r="C201" s="35"/>
      <c r="D201" s="35"/>
      <c r="E201" s="151" t="str">
        <f>IF(A201&lt;&gt;"", VLOOKUP(A201, MEMBERS_INFO!$A$2:$B$21, 2, FALSE), "")</f>
        <v/>
      </c>
    </row>
    <row r="202" spans="1:5" ht="16.5" x14ac:dyDescent="0.25">
      <c r="A202" s="35"/>
      <c r="B202" s="35"/>
      <c r="C202" s="35"/>
      <c r="D202" s="35"/>
      <c r="E202" s="151" t="str">
        <f>IF(A202&lt;&gt;"", VLOOKUP(A202, MEMBERS_INFO!$A$2:$B$21, 2, FALSE), "")</f>
        <v/>
      </c>
    </row>
    <row r="203" spans="1:5" ht="16.5" x14ac:dyDescent="0.25">
      <c r="A203" s="35"/>
      <c r="B203" s="35"/>
      <c r="C203" s="35"/>
      <c r="D203" s="35"/>
      <c r="E203" s="151" t="str">
        <f>IF(A203&lt;&gt;"", VLOOKUP(A203, MEMBERS_INFO!$A$2:$B$21, 2, FALSE), "")</f>
        <v/>
      </c>
    </row>
    <row r="204" spans="1:5" ht="16.5" x14ac:dyDescent="0.25">
      <c r="A204" s="35"/>
      <c r="B204" s="35"/>
      <c r="C204" s="35"/>
      <c r="D204" s="35"/>
      <c r="E204" s="151" t="str">
        <f>IF(A204&lt;&gt;"", VLOOKUP(A204, MEMBERS_INFO!$A$2:$B$21, 2, FALSE), "")</f>
        <v/>
      </c>
    </row>
    <row r="205" spans="1:5" ht="16.5" x14ac:dyDescent="0.25">
      <c r="A205" s="35"/>
      <c r="B205" s="35"/>
      <c r="C205" s="35"/>
      <c r="D205" s="35"/>
      <c r="E205" s="151" t="str">
        <f>IF(A205&lt;&gt;"", VLOOKUP(A205, MEMBERS_INFO!$A$2:$B$21, 2, FALSE), "")</f>
        <v/>
      </c>
    </row>
    <row r="206" spans="1:5" ht="16.5" x14ac:dyDescent="0.25">
      <c r="A206" s="35"/>
      <c r="B206" s="35"/>
      <c r="C206" s="35"/>
      <c r="D206" s="35"/>
      <c r="E206" s="151" t="str">
        <f>IF(A206&lt;&gt;"", VLOOKUP(A206, MEMBERS_INFO!$A$2:$B$21, 2, FALSE), "")</f>
        <v/>
      </c>
    </row>
    <row r="207" spans="1:5" ht="16.5" x14ac:dyDescent="0.25">
      <c r="A207" s="35"/>
      <c r="B207" s="35"/>
      <c r="C207" s="35"/>
      <c r="D207" s="35"/>
      <c r="E207" s="151" t="str">
        <f>IF(A207&lt;&gt;"", VLOOKUP(A207, MEMBERS_INFO!$A$2:$B$21, 2, FALSE), "")</f>
        <v/>
      </c>
    </row>
    <row r="208" spans="1:5" ht="16.5" x14ac:dyDescent="0.25">
      <c r="A208" s="35"/>
      <c r="B208" s="35"/>
      <c r="C208" s="35"/>
      <c r="D208" s="35"/>
      <c r="E208" s="151" t="str">
        <f>IF(A208&lt;&gt;"", VLOOKUP(A208, MEMBERS_INFO!$A$2:$B$21, 2, FALSE), "")</f>
        <v/>
      </c>
    </row>
    <row r="209" spans="1:5" ht="16.5" x14ac:dyDescent="0.25">
      <c r="A209" s="35"/>
      <c r="B209" s="35"/>
      <c r="C209" s="35"/>
      <c r="D209" s="35"/>
      <c r="E209" s="151" t="str">
        <f>IF(A209&lt;&gt;"", VLOOKUP(A209, MEMBERS_INFO!$A$2:$B$21, 2, FALSE), "")</f>
        <v/>
      </c>
    </row>
    <row r="210" spans="1:5" ht="16.5" x14ac:dyDescent="0.25">
      <c r="A210" s="35"/>
      <c r="B210" s="35"/>
      <c r="C210" s="35"/>
      <c r="D210" s="35"/>
      <c r="E210" s="151" t="str">
        <f>IF(A210&lt;&gt;"", VLOOKUP(A210, MEMBERS_INFO!$A$2:$B$21, 2, FALSE), "")</f>
        <v/>
      </c>
    </row>
    <row r="211" spans="1:5" ht="16.5" x14ac:dyDescent="0.25">
      <c r="A211" s="35"/>
      <c r="B211" s="35"/>
      <c r="C211" s="35"/>
      <c r="D211" s="35"/>
      <c r="E211" s="151" t="str">
        <f>IF(A211&lt;&gt;"", VLOOKUP(A211, MEMBERS_INFO!$A$2:$B$21, 2, FALSE), "")</f>
        <v/>
      </c>
    </row>
    <row r="212" spans="1:5" ht="16.5" x14ac:dyDescent="0.25">
      <c r="A212" s="35"/>
      <c r="B212" s="35"/>
      <c r="C212" s="35"/>
      <c r="D212" s="35"/>
      <c r="E212" s="151" t="str">
        <f>IF(A212&lt;&gt;"", VLOOKUP(A212, MEMBERS_INFO!$A$2:$B$21, 2, FALSE), "")</f>
        <v/>
      </c>
    </row>
    <row r="213" spans="1:5" ht="16.5" x14ac:dyDescent="0.25">
      <c r="A213" s="35"/>
      <c r="B213" s="35"/>
      <c r="C213" s="35"/>
      <c r="D213" s="35"/>
      <c r="E213" s="151" t="str">
        <f>IF(A213&lt;&gt;"", VLOOKUP(A213, MEMBERS_INFO!$A$2:$B$21, 2, FALSE), "")</f>
        <v/>
      </c>
    </row>
    <row r="214" spans="1:5" ht="16.5" x14ac:dyDescent="0.25">
      <c r="A214" s="35"/>
      <c r="B214" s="35"/>
      <c r="C214" s="35"/>
      <c r="D214" s="35"/>
      <c r="E214" s="151" t="str">
        <f>IF(A214&lt;&gt;"", VLOOKUP(A214, MEMBERS_INFO!$A$2:$B$21, 2, FALSE), "")</f>
        <v/>
      </c>
    </row>
    <row r="215" spans="1:5" ht="16.5" x14ac:dyDescent="0.25">
      <c r="A215" s="35"/>
      <c r="B215" s="35"/>
      <c r="C215" s="35"/>
      <c r="D215" s="35"/>
      <c r="E215" s="151" t="str">
        <f>IF(A215&lt;&gt;"", VLOOKUP(A215, MEMBERS_INFO!$A$2:$B$21, 2, FALSE), "")</f>
        <v/>
      </c>
    </row>
    <row r="216" spans="1:5" ht="16.5" x14ac:dyDescent="0.25">
      <c r="A216" s="35"/>
      <c r="B216" s="35"/>
      <c r="C216" s="35"/>
      <c r="D216" s="35"/>
      <c r="E216" s="151" t="str">
        <f>IF(A216&lt;&gt;"", VLOOKUP(A216, MEMBERS_INFO!$A$2:$B$21, 2, FALSE), "")</f>
        <v/>
      </c>
    </row>
    <row r="217" spans="1:5" ht="16.5" x14ac:dyDescent="0.25">
      <c r="A217" s="35"/>
      <c r="B217" s="35"/>
      <c r="C217" s="35"/>
      <c r="D217" s="35"/>
      <c r="E217" s="151" t="str">
        <f>IF(A217&lt;&gt;"", VLOOKUP(A217, MEMBERS_INFO!$A$2:$B$21, 2, FALSE), "")</f>
        <v/>
      </c>
    </row>
    <row r="218" spans="1:5" ht="16.5" x14ac:dyDescent="0.25">
      <c r="A218" s="35"/>
      <c r="B218" s="35"/>
      <c r="C218" s="35"/>
      <c r="D218" s="35"/>
      <c r="E218" s="151" t="str">
        <f>IF(A218&lt;&gt;"", VLOOKUP(A218, MEMBERS_INFO!$A$2:$B$21, 2, FALSE), "")</f>
        <v/>
      </c>
    </row>
    <row r="219" spans="1:5" ht="16.5" x14ac:dyDescent="0.25">
      <c r="A219" s="35"/>
      <c r="B219" s="35"/>
      <c r="C219" s="35"/>
      <c r="D219" s="35"/>
      <c r="E219" s="151" t="str">
        <f>IF(A219&lt;&gt;"", VLOOKUP(A219, MEMBERS_INFO!$A$2:$B$21, 2, FALSE), "")</f>
        <v/>
      </c>
    </row>
    <row r="220" spans="1:5" ht="16.5" x14ac:dyDescent="0.25">
      <c r="A220" s="35"/>
      <c r="B220" s="35"/>
      <c r="C220" s="35"/>
      <c r="D220" s="35"/>
      <c r="E220" s="151" t="str">
        <f>IF(A220&lt;&gt;"", VLOOKUP(A220, MEMBERS_INFO!$A$2:$B$21, 2, FALSE), "")</f>
        <v/>
      </c>
    </row>
    <row r="221" spans="1:5" ht="16.5" x14ac:dyDescent="0.25">
      <c r="A221" s="35"/>
      <c r="B221" s="35"/>
      <c r="C221" s="35"/>
      <c r="D221" s="35"/>
      <c r="E221" s="151" t="str">
        <f>IF(A221&lt;&gt;"", VLOOKUP(A221, MEMBERS_INFO!$A$2:$B$21, 2, FALSE), "")</f>
        <v/>
      </c>
    </row>
    <row r="222" spans="1:5" ht="16.5" x14ac:dyDescent="0.25">
      <c r="A222" s="35"/>
      <c r="B222" s="35"/>
      <c r="C222" s="35"/>
      <c r="D222" s="35"/>
      <c r="E222" s="151" t="str">
        <f>IF(A222&lt;&gt;"", VLOOKUP(A222, MEMBERS_INFO!$A$2:$B$21, 2, FALSE), "")</f>
        <v/>
      </c>
    </row>
    <row r="223" spans="1:5" ht="16.5" x14ac:dyDescent="0.25">
      <c r="A223" s="35"/>
      <c r="B223" s="35"/>
      <c r="C223" s="35"/>
      <c r="D223" s="35"/>
      <c r="E223" s="151" t="str">
        <f>IF(A223&lt;&gt;"", VLOOKUP(A223, MEMBERS_INFO!$A$2:$B$21, 2, FALSE), "")</f>
        <v/>
      </c>
    </row>
    <row r="224" spans="1:5" ht="16.5" x14ac:dyDescent="0.25">
      <c r="A224" s="35"/>
      <c r="B224" s="35"/>
      <c r="C224" s="35"/>
      <c r="D224" s="35"/>
      <c r="E224" s="151" t="str">
        <f>IF(A224&lt;&gt;"", VLOOKUP(A224, MEMBERS_INFO!$A$2:$B$21, 2, FALSE), "")</f>
        <v/>
      </c>
    </row>
    <row r="225" spans="1:5" ht="16.5" x14ac:dyDescent="0.25">
      <c r="A225" s="35"/>
      <c r="B225" s="35"/>
      <c r="C225" s="35"/>
      <c r="D225" s="35"/>
      <c r="E225" s="151" t="str">
        <f>IF(A225&lt;&gt;"", VLOOKUP(A225, MEMBERS_INFO!$A$2:$B$21, 2, FALSE), "")</f>
        <v/>
      </c>
    </row>
    <row r="226" spans="1:5" ht="16.5" x14ac:dyDescent="0.25">
      <c r="A226" s="35"/>
      <c r="B226" s="35"/>
      <c r="C226" s="35"/>
      <c r="D226" s="35"/>
      <c r="E226" s="151" t="str">
        <f>IF(A226&lt;&gt;"", VLOOKUP(A226, MEMBERS_INFO!$A$2:$B$21, 2, FALSE), "")</f>
        <v/>
      </c>
    </row>
    <row r="227" spans="1:5" ht="16.5" x14ac:dyDescent="0.25">
      <c r="A227" s="35"/>
      <c r="B227" s="35"/>
      <c r="C227" s="35"/>
      <c r="D227" s="35"/>
      <c r="E227" s="151" t="str">
        <f>IF(A227&lt;&gt;"", VLOOKUP(A227, MEMBERS_INFO!$A$2:$B$21, 2, FALSE), "")</f>
        <v/>
      </c>
    </row>
    <row r="228" spans="1:5" ht="16.5" x14ac:dyDescent="0.25">
      <c r="A228" s="35"/>
      <c r="B228" s="35"/>
      <c r="C228" s="35"/>
      <c r="D228" s="35"/>
      <c r="E228" s="151" t="str">
        <f>IF(A228&lt;&gt;"", VLOOKUP(A228, MEMBERS_INFO!$A$2:$B$21, 2, FALSE), "")</f>
        <v/>
      </c>
    </row>
    <row r="229" spans="1:5" ht="16.5" x14ac:dyDescent="0.25">
      <c r="A229" s="35"/>
      <c r="B229" s="35"/>
      <c r="C229" s="35"/>
      <c r="D229" s="35"/>
      <c r="E229" s="151" t="str">
        <f>IF(A229&lt;&gt;"", VLOOKUP(A229, MEMBERS_INFO!$A$2:$B$21, 2, FALSE), "")</f>
        <v/>
      </c>
    </row>
    <row r="230" spans="1:5" ht="16.5" x14ac:dyDescent="0.25">
      <c r="A230" s="35"/>
      <c r="B230" s="35"/>
      <c r="C230" s="35"/>
      <c r="D230" s="35"/>
      <c r="E230" s="151" t="str">
        <f>IF(A230&lt;&gt;"", VLOOKUP(A230, MEMBERS_INFO!$A$2:$B$21, 2, FALSE), "")</f>
        <v/>
      </c>
    </row>
    <row r="231" spans="1:5" ht="16.5" x14ac:dyDescent="0.25">
      <c r="A231" s="35"/>
      <c r="B231" s="35"/>
      <c r="C231" s="35"/>
      <c r="D231" s="35"/>
      <c r="E231" s="151" t="str">
        <f>IF(A231&lt;&gt;"", VLOOKUP(A231, MEMBERS_INFO!$A$2:$B$21, 2, FALSE), "")</f>
        <v/>
      </c>
    </row>
    <row r="232" spans="1:5" ht="16.5" x14ac:dyDescent="0.25">
      <c r="A232" s="35"/>
      <c r="B232" s="35"/>
      <c r="C232" s="35"/>
      <c r="D232" s="35"/>
      <c r="E232" s="151" t="str">
        <f>IF(A232&lt;&gt;"", VLOOKUP(A232, MEMBERS_INFO!$A$2:$B$21, 2, FALSE), "")</f>
        <v/>
      </c>
    </row>
    <row r="233" spans="1:5" ht="16.5" x14ac:dyDescent="0.25">
      <c r="A233" s="35"/>
      <c r="B233" s="35"/>
      <c r="C233" s="35"/>
      <c r="D233" s="35"/>
      <c r="E233" s="151" t="str">
        <f>IF(A233&lt;&gt;"", VLOOKUP(A233, MEMBERS_INFO!$A$2:$B$21, 2, FALSE), "")</f>
        <v/>
      </c>
    </row>
    <row r="234" spans="1:5" ht="16.5" x14ac:dyDescent="0.25">
      <c r="A234" s="35"/>
      <c r="B234" s="35"/>
      <c r="C234" s="35"/>
      <c r="D234" s="35"/>
      <c r="E234" s="151" t="str">
        <f>IF(A234&lt;&gt;"", VLOOKUP(A234, MEMBERS_INFO!$A$2:$B$21, 2, FALSE), "")</f>
        <v/>
      </c>
    </row>
    <row r="235" spans="1:5" ht="16.5" x14ac:dyDescent="0.25">
      <c r="A235" s="35"/>
      <c r="B235" s="35"/>
      <c r="C235" s="35"/>
      <c r="D235" s="35"/>
      <c r="E235" s="151" t="str">
        <f>IF(A235&lt;&gt;"", VLOOKUP(A235, MEMBERS_INFO!$A$2:$B$21, 2, FALSE), "")</f>
        <v/>
      </c>
    </row>
    <row r="236" spans="1:5" ht="16.5" x14ac:dyDescent="0.25">
      <c r="A236" s="35"/>
      <c r="B236" s="35"/>
      <c r="C236" s="35"/>
      <c r="D236" s="35"/>
      <c r="E236" s="151" t="str">
        <f>IF(A236&lt;&gt;"", VLOOKUP(A236, MEMBERS_INFO!$A$2:$B$21, 2, FALSE), "")</f>
        <v/>
      </c>
    </row>
    <row r="237" spans="1:5" ht="16.5" x14ac:dyDescent="0.25">
      <c r="A237" s="35"/>
      <c r="B237" s="35"/>
      <c r="C237" s="35"/>
      <c r="D237" s="35"/>
      <c r="E237" s="151" t="str">
        <f>IF(A237&lt;&gt;"", VLOOKUP(A237, MEMBERS_INFO!$A$2:$B$21, 2, FALSE), "")</f>
        <v/>
      </c>
    </row>
    <row r="238" spans="1:5" ht="16.5" x14ac:dyDescent="0.25">
      <c r="A238" s="35"/>
      <c r="B238" s="35"/>
      <c r="C238" s="35"/>
      <c r="D238" s="35"/>
      <c r="E238" s="151" t="str">
        <f>IF(A238&lt;&gt;"", VLOOKUP(A238, MEMBERS_INFO!$A$2:$B$21, 2, FALSE), "")</f>
        <v/>
      </c>
    </row>
    <row r="239" spans="1:5" ht="16.5" x14ac:dyDescent="0.25">
      <c r="A239" s="35"/>
      <c r="B239" s="35"/>
      <c r="C239" s="35"/>
      <c r="D239" s="35"/>
      <c r="E239" s="151" t="str">
        <f>IF(A239&lt;&gt;"", VLOOKUP(A239, MEMBERS_INFO!$A$2:$B$21, 2, FALSE), "")</f>
        <v/>
      </c>
    </row>
    <row r="240" spans="1:5" ht="16.5" x14ac:dyDescent="0.25">
      <c r="A240" s="35"/>
      <c r="B240" s="35"/>
      <c r="C240" s="35"/>
      <c r="D240" s="35"/>
      <c r="E240" s="151" t="str">
        <f>IF(A240&lt;&gt;"", VLOOKUP(A240, MEMBERS_INFO!$A$2:$B$21, 2, FALSE), "")</f>
        <v/>
      </c>
    </row>
    <row r="241" spans="1:5" ht="16.5" x14ac:dyDescent="0.25">
      <c r="A241" s="35"/>
      <c r="B241" s="35"/>
      <c r="C241" s="35"/>
      <c r="D241" s="35"/>
      <c r="E241" s="151" t="str">
        <f>IF(A241&lt;&gt;"", VLOOKUP(A241, MEMBERS_INFO!$A$2:$B$21, 2, FALSE), "")</f>
        <v/>
      </c>
    </row>
    <row r="242" spans="1:5" ht="16.5" x14ac:dyDescent="0.25">
      <c r="A242" s="35"/>
      <c r="B242" s="35"/>
      <c r="C242" s="35"/>
      <c r="D242" s="35"/>
      <c r="E242" s="151" t="str">
        <f>IF(A242&lt;&gt;"", VLOOKUP(A242, MEMBERS_INFO!$A$2:$B$21, 2, FALSE), "")</f>
        <v/>
      </c>
    </row>
    <row r="243" spans="1:5" ht="16.5" x14ac:dyDescent="0.25">
      <c r="A243" s="35"/>
      <c r="B243" s="35"/>
      <c r="C243" s="35"/>
      <c r="D243" s="35"/>
      <c r="E243" s="151" t="str">
        <f>IF(A243&lt;&gt;"", VLOOKUP(A243, MEMBERS_INFO!$A$2:$B$21, 2, FALSE), "")</f>
        <v/>
      </c>
    </row>
    <row r="244" spans="1:5" ht="16.5" x14ac:dyDescent="0.25">
      <c r="A244" s="35"/>
      <c r="B244" s="35"/>
      <c r="C244" s="35"/>
      <c r="D244" s="35"/>
      <c r="E244" s="151" t="str">
        <f>IF(A244&lt;&gt;"", VLOOKUP(A244, MEMBERS_INFO!$A$2:$B$21, 2, FALSE), "")</f>
        <v/>
      </c>
    </row>
    <row r="245" spans="1:5" ht="16.5" x14ac:dyDescent="0.25">
      <c r="A245" s="35"/>
      <c r="B245" s="35"/>
      <c r="C245" s="35"/>
      <c r="D245" s="35"/>
      <c r="E245" s="151" t="str">
        <f>IF(A245&lt;&gt;"", VLOOKUP(A245, MEMBERS_INFO!$A$2:$B$21, 2, FALSE), "")</f>
        <v/>
      </c>
    </row>
    <row r="246" spans="1:5" ht="16.5" x14ac:dyDescent="0.25">
      <c r="A246" s="35"/>
      <c r="B246" s="35"/>
      <c r="C246" s="35"/>
      <c r="D246" s="35"/>
      <c r="E246" s="151" t="str">
        <f>IF(A246&lt;&gt;"", VLOOKUP(A246, MEMBERS_INFO!$A$2:$B$21, 2, FALSE), "")</f>
        <v/>
      </c>
    </row>
    <row r="247" spans="1:5" ht="16.5" x14ac:dyDescent="0.25">
      <c r="A247" s="35"/>
      <c r="B247" s="35"/>
      <c r="C247" s="35"/>
      <c r="D247" s="35"/>
      <c r="E247" s="151" t="str">
        <f>IF(A247&lt;&gt;"", VLOOKUP(A247, MEMBERS_INFO!$A$2:$B$21, 2, FALSE), "")</f>
        <v/>
      </c>
    </row>
    <row r="248" spans="1:5" ht="16.5" x14ac:dyDescent="0.25">
      <c r="A248" s="35"/>
      <c r="B248" s="35"/>
      <c r="C248" s="35"/>
      <c r="D248" s="35"/>
      <c r="E248" s="151" t="str">
        <f>IF(A248&lt;&gt;"", VLOOKUP(A248, MEMBERS_INFO!$A$2:$B$21, 2, FALSE), "")</f>
        <v/>
      </c>
    </row>
    <row r="249" spans="1:5" ht="16.5" x14ac:dyDescent="0.25">
      <c r="A249" s="35"/>
      <c r="B249" s="35"/>
      <c r="C249" s="35"/>
      <c r="D249" s="35"/>
      <c r="E249" s="151" t="str">
        <f>IF(A249&lt;&gt;"", VLOOKUP(A249, MEMBERS_INFO!$A$2:$B$21, 2, FALSE), "")</f>
        <v/>
      </c>
    </row>
    <row r="250" spans="1:5" ht="16.5" x14ac:dyDescent="0.25">
      <c r="A250" s="35"/>
      <c r="B250" s="35"/>
      <c r="C250" s="35"/>
      <c r="D250" s="35"/>
      <c r="E250" s="151" t="str">
        <f>IF(A250&lt;&gt;"", VLOOKUP(A250, MEMBERS_INFO!$A$2:$B$21, 2, FALSE), "")</f>
        <v/>
      </c>
    </row>
    <row r="251" spans="1:5" ht="16.5" x14ac:dyDescent="0.25">
      <c r="A251" s="35"/>
      <c r="B251" s="35"/>
      <c r="C251" s="35"/>
      <c r="D251" s="35"/>
      <c r="E251" s="151" t="str">
        <f>IF(A251&lt;&gt;"", VLOOKUP(A251, MEMBERS_INFO!$A$2:$B$21, 2, FALSE), "")</f>
        <v/>
      </c>
    </row>
    <row r="252" spans="1:5" ht="16.5" x14ac:dyDescent="0.25">
      <c r="A252" s="35"/>
      <c r="B252" s="35"/>
      <c r="C252" s="35"/>
      <c r="D252" s="35"/>
      <c r="E252" s="151" t="str">
        <f>IF(A252&lt;&gt;"", VLOOKUP(A252, MEMBERS_INFO!$A$2:$B$21, 2, FALSE), "")</f>
        <v/>
      </c>
    </row>
    <row r="253" spans="1:5" ht="16.5" x14ac:dyDescent="0.25">
      <c r="A253" s="35"/>
      <c r="B253" s="35"/>
      <c r="C253" s="35"/>
      <c r="D253" s="35"/>
      <c r="E253" s="151" t="str">
        <f>IF(A253&lt;&gt;"", VLOOKUP(A253, MEMBERS_INFO!$A$2:$B$21, 2, FALSE), "")</f>
        <v/>
      </c>
    </row>
    <row r="254" spans="1:5" ht="16.5" x14ac:dyDescent="0.25">
      <c r="A254" s="35"/>
      <c r="B254" s="35"/>
      <c r="C254" s="35"/>
      <c r="D254" s="35"/>
      <c r="E254" s="151" t="str">
        <f>IF(A254&lt;&gt;"", VLOOKUP(A254, MEMBERS_INFO!$A$2:$B$21, 2, FALSE), "")</f>
        <v/>
      </c>
    </row>
    <row r="255" spans="1:5" ht="16.5" x14ac:dyDescent="0.25">
      <c r="A255" s="35"/>
      <c r="B255" s="35"/>
      <c r="C255" s="35"/>
      <c r="D255" s="35"/>
      <c r="E255" s="151" t="str">
        <f>IF(A255&lt;&gt;"", VLOOKUP(A255, MEMBERS_INFO!$A$2:$B$21, 2, FALSE), "")</f>
        <v/>
      </c>
    </row>
    <row r="256" spans="1:5" ht="16.5" x14ac:dyDescent="0.25">
      <c r="A256" s="35"/>
      <c r="B256" s="35"/>
      <c r="C256" s="35"/>
      <c r="D256" s="35"/>
      <c r="E256" s="151" t="str">
        <f>IF(A256&lt;&gt;"", VLOOKUP(A256, MEMBERS_INFO!$A$2:$B$21, 2, FALSE), "")</f>
        <v/>
      </c>
    </row>
    <row r="257" spans="1:5" ht="16.5" x14ac:dyDescent="0.25">
      <c r="A257" s="35"/>
      <c r="B257" s="35"/>
      <c r="C257" s="35"/>
      <c r="D257" s="35"/>
      <c r="E257" s="151" t="str">
        <f>IF(A257&lt;&gt;"", VLOOKUP(A257, MEMBERS_INFO!$A$2:$B$21, 2, FALSE), "")</f>
        <v/>
      </c>
    </row>
    <row r="258" spans="1:5" ht="16.5" x14ac:dyDescent="0.25">
      <c r="A258" s="35"/>
      <c r="B258" s="35"/>
      <c r="C258" s="35"/>
      <c r="D258" s="35"/>
      <c r="E258" s="151" t="str">
        <f>IF(A258&lt;&gt;"", VLOOKUP(A258, MEMBERS_INFO!$A$2:$B$21, 2, FALSE), "")</f>
        <v/>
      </c>
    </row>
    <row r="259" spans="1:5" ht="16.5" x14ac:dyDescent="0.25">
      <c r="A259" s="35"/>
      <c r="B259" s="35"/>
      <c r="C259" s="35"/>
      <c r="D259" s="35"/>
      <c r="E259" s="151" t="str">
        <f>IF(A259&lt;&gt;"", VLOOKUP(A259, MEMBERS_INFO!$A$2:$B$21, 2, FALSE), "")</f>
        <v/>
      </c>
    </row>
    <row r="260" spans="1:5" ht="16.5" x14ac:dyDescent="0.25">
      <c r="A260" s="35"/>
      <c r="B260" s="35"/>
      <c r="C260" s="35"/>
      <c r="D260" s="35"/>
      <c r="E260" s="151" t="str">
        <f>IF(A260&lt;&gt;"", VLOOKUP(A260, MEMBERS_INFO!$A$2:$B$21, 2, FALSE), "")</f>
        <v/>
      </c>
    </row>
    <row r="261" spans="1:5" ht="16.5" x14ac:dyDescent="0.25">
      <c r="A261" s="35"/>
      <c r="B261" s="35"/>
      <c r="C261" s="35"/>
      <c r="D261" s="35"/>
      <c r="E261" s="151" t="str">
        <f>IF(A261&lt;&gt;"", VLOOKUP(A261, MEMBERS_INFO!$A$2:$B$21, 2, FALSE), "")</f>
        <v/>
      </c>
    </row>
    <row r="262" spans="1:5" ht="16.5" x14ac:dyDescent="0.25">
      <c r="A262" s="35"/>
      <c r="B262" s="35"/>
      <c r="C262" s="35"/>
      <c r="D262" s="35"/>
      <c r="E262" s="151" t="str">
        <f>IF(A262&lt;&gt;"", VLOOKUP(A262, MEMBERS_INFO!$A$2:$B$21, 2, FALSE), "")</f>
        <v/>
      </c>
    </row>
    <row r="263" spans="1:5" ht="16.5" x14ac:dyDescent="0.25">
      <c r="A263" s="35"/>
      <c r="B263" s="35"/>
      <c r="C263" s="35"/>
      <c r="D263" s="35"/>
      <c r="E263" s="151" t="str">
        <f>IF(A263&lt;&gt;"", VLOOKUP(A263, MEMBERS_INFO!$A$2:$B$21, 2, FALSE), "")</f>
        <v/>
      </c>
    </row>
    <row r="264" spans="1:5" ht="16.5" x14ac:dyDescent="0.25">
      <c r="A264" s="35"/>
      <c r="B264" s="35"/>
      <c r="C264" s="35"/>
      <c r="D264" s="35"/>
      <c r="E264" s="151" t="str">
        <f>IF(A264&lt;&gt;"", VLOOKUP(A264, MEMBERS_INFO!$A$2:$B$21, 2, FALSE), "")</f>
        <v/>
      </c>
    </row>
    <row r="265" spans="1:5" ht="16.5" x14ac:dyDescent="0.25">
      <c r="A265" s="35"/>
      <c r="B265" s="35"/>
      <c r="C265" s="35"/>
      <c r="D265" s="35"/>
      <c r="E265" s="151" t="str">
        <f>IF(A265&lt;&gt;"", VLOOKUP(A265, MEMBERS_INFO!$A$2:$B$21, 2, FALSE), "")</f>
        <v/>
      </c>
    </row>
    <row r="266" spans="1:5" ht="16.5" x14ac:dyDescent="0.25">
      <c r="A266" s="35"/>
      <c r="B266" s="35"/>
      <c r="C266" s="35"/>
      <c r="D266" s="35"/>
      <c r="E266" s="151" t="str">
        <f>IF(A266&lt;&gt;"", VLOOKUP(A266, MEMBERS_INFO!$A$2:$B$21, 2, FALSE), "")</f>
        <v/>
      </c>
    </row>
    <row r="267" spans="1:5" ht="16.5" x14ac:dyDescent="0.25">
      <c r="A267" s="35"/>
      <c r="B267" s="35"/>
      <c r="C267" s="35"/>
      <c r="D267" s="35"/>
      <c r="E267" s="151" t="str">
        <f>IF(A267&lt;&gt;"", VLOOKUP(A267, MEMBERS_INFO!$A$2:$B$21, 2, FALSE), "")</f>
        <v/>
      </c>
    </row>
    <row r="268" spans="1:5" ht="16.5" x14ac:dyDescent="0.25">
      <c r="A268" s="35"/>
      <c r="B268" s="35"/>
      <c r="C268" s="35"/>
      <c r="D268" s="35"/>
      <c r="E268" s="151" t="str">
        <f>IF(A268&lt;&gt;"", VLOOKUP(A268, MEMBERS_INFO!$A$2:$B$21, 2, FALSE), "")</f>
        <v/>
      </c>
    </row>
    <row r="269" spans="1:5" ht="16.5" x14ac:dyDescent="0.25">
      <c r="A269" s="35"/>
      <c r="B269" s="35"/>
      <c r="C269" s="35"/>
      <c r="D269" s="35"/>
      <c r="E269" s="151" t="str">
        <f>IF(A269&lt;&gt;"", VLOOKUP(A269, MEMBERS_INFO!$A$2:$B$21, 2, FALSE), "")</f>
        <v/>
      </c>
    </row>
    <row r="270" spans="1:5" ht="16.5" x14ac:dyDescent="0.25">
      <c r="A270" s="35"/>
      <c r="B270" s="35"/>
      <c r="C270" s="35"/>
      <c r="D270" s="35"/>
      <c r="E270" s="151" t="str">
        <f>IF(A270&lt;&gt;"", VLOOKUP(A270, MEMBERS_INFO!$A$2:$B$21, 2, FALSE), "")</f>
        <v/>
      </c>
    </row>
    <row r="271" spans="1:5" ht="16.5" x14ac:dyDescent="0.25">
      <c r="A271" s="35"/>
      <c r="B271" s="35"/>
      <c r="C271" s="35"/>
      <c r="D271" s="35"/>
      <c r="E271" s="151" t="str">
        <f>IF(A271&lt;&gt;"", VLOOKUP(A271, MEMBERS_INFO!$A$2:$B$21, 2, FALSE), "")</f>
        <v/>
      </c>
    </row>
    <row r="272" spans="1:5" ht="16.5" x14ac:dyDescent="0.25">
      <c r="A272" s="35"/>
      <c r="B272" s="35"/>
      <c r="C272" s="35"/>
      <c r="D272" s="35"/>
      <c r="E272" s="151" t="str">
        <f>IF(A272&lt;&gt;"", VLOOKUP(A272, MEMBERS_INFO!$A$2:$B$21, 2, FALSE), "")</f>
        <v/>
      </c>
    </row>
    <row r="273" spans="1:5" ht="16.5" x14ac:dyDescent="0.25">
      <c r="A273" s="35"/>
      <c r="B273" s="35"/>
      <c r="C273" s="35"/>
      <c r="D273" s="35"/>
      <c r="E273" s="151" t="str">
        <f>IF(A273&lt;&gt;"", VLOOKUP(A273, MEMBERS_INFO!$A$2:$B$21, 2, FALSE), "")</f>
        <v/>
      </c>
    </row>
    <row r="274" spans="1:5" ht="16.5" x14ac:dyDescent="0.25">
      <c r="A274" s="35"/>
      <c r="B274" s="35"/>
      <c r="C274" s="35"/>
      <c r="D274" s="35"/>
      <c r="E274" s="151" t="str">
        <f>IF(A274&lt;&gt;"", VLOOKUP(A274, MEMBERS_INFO!$A$2:$B$21, 2, FALSE), "")</f>
        <v/>
      </c>
    </row>
    <row r="275" spans="1:5" ht="16.5" x14ac:dyDescent="0.25">
      <c r="A275" s="35"/>
      <c r="B275" s="35"/>
      <c r="C275" s="35"/>
      <c r="D275" s="35"/>
      <c r="E275" s="151" t="str">
        <f>IF(A275&lt;&gt;"", VLOOKUP(A275, MEMBERS_INFO!$A$2:$B$21, 2, FALSE), "")</f>
        <v/>
      </c>
    </row>
    <row r="276" spans="1:5" ht="16.5" x14ac:dyDescent="0.25">
      <c r="A276" s="35"/>
      <c r="B276" s="35"/>
      <c r="C276" s="35"/>
      <c r="D276" s="35"/>
      <c r="E276" s="151" t="str">
        <f>IF(A276&lt;&gt;"", VLOOKUP(A276, MEMBERS_INFO!$A$2:$B$21, 2, FALSE), "")</f>
        <v/>
      </c>
    </row>
    <row r="277" spans="1:5" ht="16.5" x14ac:dyDescent="0.25">
      <c r="A277" s="35"/>
      <c r="B277" s="35"/>
      <c r="C277" s="35"/>
      <c r="D277" s="35"/>
      <c r="E277" s="151" t="str">
        <f>IF(A277&lt;&gt;"", VLOOKUP(A277, MEMBERS_INFO!$A$2:$B$21, 2, FALSE), "")</f>
        <v/>
      </c>
    </row>
    <row r="278" spans="1:5" ht="16.5" x14ac:dyDescent="0.25">
      <c r="A278" s="35"/>
      <c r="B278" s="35"/>
      <c r="C278" s="35"/>
      <c r="D278" s="35"/>
      <c r="E278" s="151" t="str">
        <f>IF(A278&lt;&gt;"", VLOOKUP(A278, MEMBERS_INFO!$A$2:$B$21, 2, FALSE), "")</f>
        <v/>
      </c>
    </row>
    <row r="279" spans="1:5" ht="16.5" x14ac:dyDescent="0.25">
      <c r="A279" s="35"/>
      <c r="B279" s="35"/>
      <c r="C279" s="35"/>
      <c r="D279" s="35"/>
      <c r="E279" s="151" t="str">
        <f>IF(A279&lt;&gt;"", VLOOKUP(A279, MEMBERS_INFO!$A$2:$B$21, 2, FALSE), "")</f>
        <v/>
      </c>
    </row>
    <row r="280" spans="1:5" ht="16.5" x14ac:dyDescent="0.25">
      <c r="A280" s="35"/>
      <c r="B280" s="35"/>
      <c r="C280" s="35"/>
      <c r="D280" s="35"/>
      <c r="E280" s="151" t="str">
        <f>IF(A280&lt;&gt;"", VLOOKUP(A280, MEMBERS_INFO!$A$2:$B$21, 2, FALSE), "")</f>
        <v/>
      </c>
    </row>
    <row r="281" spans="1:5" ht="16.5" x14ac:dyDescent="0.25">
      <c r="A281" s="35"/>
      <c r="B281" s="35"/>
      <c r="C281" s="35"/>
      <c r="D281" s="35"/>
      <c r="E281" s="151" t="str">
        <f>IF(A281&lt;&gt;"", VLOOKUP(A281, MEMBERS_INFO!$A$2:$B$21, 2, FALSE), "")</f>
        <v/>
      </c>
    </row>
    <row r="282" spans="1:5" ht="16.5" x14ac:dyDescent="0.25">
      <c r="A282" s="35"/>
      <c r="B282" s="35"/>
      <c r="C282" s="35"/>
      <c r="D282" s="35"/>
      <c r="E282" s="151" t="str">
        <f>IF(A282&lt;&gt;"", VLOOKUP(A282, MEMBERS_INFO!$A$2:$B$21, 2, FALSE), "")</f>
        <v/>
      </c>
    </row>
    <row r="283" spans="1:5" ht="16.5" x14ac:dyDescent="0.25">
      <c r="A283" s="35"/>
      <c r="B283" s="35"/>
      <c r="C283" s="35"/>
      <c r="D283" s="35"/>
      <c r="E283" s="151" t="str">
        <f>IF(A283&lt;&gt;"", VLOOKUP(A283, MEMBERS_INFO!$A$2:$B$21, 2, FALSE), "")</f>
        <v/>
      </c>
    </row>
    <row r="284" spans="1:5" ht="16.5" x14ac:dyDescent="0.25">
      <c r="A284" s="35"/>
      <c r="B284" s="35"/>
      <c r="C284" s="35"/>
      <c r="D284" s="35"/>
      <c r="E284" s="151" t="str">
        <f>IF(A284&lt;&gt;"", VLOOKUP(A284, MEMBERS_INFO!$A$2:$B$21, 2, FALSE), "")</f>
        <v/>
      </c>
    </row>
    <row r="285" spans="1:5" ht="16.5" x14ac:dyDescent="0.25">
      <c r="A285" s="35"/>
      <c r="B285" s="35"/>
      <c r="C285" s="35"/>
      <c r="D285" s="35"/>
      <c r="E285" s="151" t="str">
        <f>IF(A285&lt;&gt;"", VLOOKUP(A285, MEMBERS_INFO!$A$2:$B$21, 2, FALSE), "")</f>
        <v/>
      </c>
    </row>
    <row r="286" spans="1:5" ht="16.5" x14ac:dyDescent="0.25">
      <c r="A286" s="35"/>
      <c r="B286" s="35"/>
      <c r="C286" s="35"/>
      <c r="D286" s="35"/>
      <c r="E286" s="151" t="str">
        <f>IF(A286&lt;&gt;"", VLOOKUP(A286, MEMBERS_INFO!$A$2:$B$21, 2, FALSE), "")</f>
        <v/>
      </c>
    </row>
    <row r="287" spans="1:5" ht="16.5" x14ac:dyDescent="0.25">
      <c r="A287" s="35"/>
      <c r="B287" s="35"/>
      <c r="C287" s="35"/>
      <c r="D287" s="35"/>
      <c r="E287" s="151" t="str">
        <f>IF(A287&lt;&gt;"", VLOOKUP(A287, MEMBERS_INFO!$A$2:$B$21, 2, FALSE), "")</f>
        <v/>
      </c>
    </row>
    <row r="288" spans="1:5" ht="16.5" x14ac:dyDescent="0.25">
      <c r="A288" s="35"/>
      <c r="B288" s="35"/>
      <c r="C288" s="35"/>
      <c r="D288" s="35"/>
      <c r="E288" s="151" t="str">
        <f>IF(A288&lt;&gt;"", VLOOKUP(A288, MEMBERS_INFO!$A$2:$B$21, 2, FALSE), "")</f>
        <v/>
      </c>
    </row>
    <row r="289" spans="1:5" ht="16.5" x14ac:dyDescent="0.25">
      <c r="A289" s="35"/>
      <c r="B289" s="35"/>
      <c r="C289" s="35"/>
      <c r="D289" s="35"/>
      <c r="E289" s="151" t="str">
        <f>IF(A289&lt;&gt;"", VLOOKUP(A289, MEMBERS_INFO!$A$2:$B$21, 2, FALSE), "")</f>
        <v/>
      </c>
    </row>
    <row r="290" spans="1:5" ht="16.5" x14ac:dyDescent="0.25">
      <c r="A290" s="35"/>
      <c r="B290" s="35"/>
      <c r="C290" s="35"/>
      <c r="D290" s="35"/>
      <c r="E290" s="151" t="str">
        <f>IF(A290&lt;&gt;"", VLOOKUP(A290, MEMBERS_INFO!$A$2:$B$21, 2, FALSE), "")</f>
        <v/>
      </c>
    </row>
    <row r="291" spans="1:5" ht="16.5" x14ac:dyDescent="0.25">
      <c r="A291" s="35"/>
      <c r="B291" s="35"/>
      <c r="C291" s="35"/>
      <c r="D291" s="35"/>
      <c r="E291" s="151" t="str">
        <f>IF(A291&lt;&gt;"", VLOOKUP(A291, MEMBERS_INFO!$A$2:$B$21, 2, FALSE), "")</f>
        <v/>
      </c>
    </row>
    <row r="292" spans="1:5" ht="16.5" x14ac:dyDescent="0.25">
      <c r="A292" s="35"/>
      <c r="B292" s="35"/>
      <c r="C292" s="35"/>
      <c r="D292" s="35"/>
      <c r="E292" s="151" t="str">
        <f>IF(A292&lt;&gt;"", VLOOKUP(A292, MEMBERS_INFO!$A$2:$B$21, 2, FALSE), "")</f>
        <v/>
      </c>
    </row>
    <row r="293" spans="1:5" ht="16.5" x14ac:dyDescent="0.25">
      <c r="A293" s="35"/>
      <c r="B293" s="35"/>
      <c r="C293" s="35"/>
      <c r="D293" s="35"/>
      <c r="E293" s="151" t="str">
        <f>IF(A293&lt;&gt;"", VLOOKUP(A293, MEMBERS_INFO!$A$2:$B$21, 2, FALSE), "")</f>
        <v/>
      </c>
    </row>
    <row r="294" spans="1:5" ht="16.5" x14ac:dyDescent="0.25">
      <c r="A294" s="35"/>
      <c r="B294" s="35"/>
      <c r="C294" s="35"/>
      <c r="D294" s="35"/>
      <c r="E294" s="151" t="str">
        <f>IF(A294&lt;&gt;"", VLOOKUP(A294, MEMBERS_INFO!$A$2:$B$21, 2, FALSE), "")</f>
        <v/>
      </c>
    </row>
    <row r="295" spans="1:5" ht="16.5" x14ac:dyDescent="0.25">
      <c r="A295" s="35"/>
      <c r="B295" s="35"/>
      <c r="C295" s="35"/>
      <c r="D295" s="35"/>
      <c r="E295" s="151" t="str">
        <f>IF(A295&lt;&gt;"", VLOOKUP(A295, MEMBERS_INFO!$A$2:$B$21, 2, FALSE), "")</f>
        <v/>
      </c>
    </row>
    <row r="296" spans="1:5" ht="16.5" x14ac:dyDescent="0.25">
      <c r="A296" s="35"/>
      <c r="B296" s="35"/>
      <c r="C296" s="35"/>
      <c r="D296" s="35"/>
      <c r="E296" s="151" t="str">
        <f>IF(A296&lt;&gt;"", VLOOKUP(A296, MEMBERS_INFO!$A$2:$B$21, 2, FALSE), "")</f>
        <v/>
      </c>
    </row>
    <row r="297" spans="1:5" ht="16.5" x14ac:dyDescent="0.25">
      <c r="A297" s="35"/>
      <c r="B297" s="35"/>
      <c r="C297" s="35"/>
      <c r="D297" s="35"/>
      <c r="E297" s="151" t="str">
        <f>IF(A297&lt;&gt;"", VLOOKUP(A297, MEMBERS_INFO!$A$2:$B$21, 2, FALSE), "")</f>
        <v/>
      </c>
    </row>
    <row r="298" spans="1:5" ht="16.5" x14ac:dyDescent="0.25">
      <c r="A298" s="35"/>
      <c r="B298" s="35"/>
      <c r="C298" s="35"/>
      <c r="D298" s="35"/>
      <c r="E298" s="151" t="str">
        <f>IF(A298&lt;&gt;"", VLOOKUP(A298, MEMBERS_INFO!$A$2:$B$21, 2, FALSE), "")</f>
        <v/>
      </c>
    </row>
    <row r="299" spans="1:5" ht="16.5" x14ac:dyDescent="0.25">
      <c r="A299" s="35"/>
      <c r="B299" s="35"/>
      <c r="C299" s="35"/>
      <c r="D299" s="35"/>
      <c r="E299" s="151" t="str">
        <f>IF(A299&lt;&gt;"", VLOOKUP(A299, MEMBERS_INFO!$A$2:$B$21, 2, FALSE), "")</f>
        <v/>
      </c>
    </row>
    <row r="300" spans="1:5" ht="16.5" x14ac:dyDescent="0.25">
      <c r="A300" s="35"/>
      <c r="B300" s="35"/>
      <c r="C300" s="35"/>
      <c r="D300" s="35"/>
      <c r="E300" s="151" t="str">
        <f>IF(A300&lt;&gt;"", VLOOKUP(A300, MEMBERS_INFO!$A$2:$B$21, 2, FALSE), "")</f>
        <v/>
      </c>
    </row>
    <row r="301" spans="1:5" ht="16.5" x14ac:dyDescent="0.25">
      <c r="A301" s="35"/>
      <c r="B301" s="35"/>
      <c r="C301" s="35"/>
      <c r="D301" s="35"/>
      <c r="E301" s="151" t="str">
        <f>IF(A301&lt;&gt;"", VLOOKUP(A301, MEMBERS_INFO!$A$2:$B$21, 2, FALSE), "")</f>
        <v/>
      </c>
    </row>
    <row r="302" spans="1:5" ht="16.5" x14ac:dyDescent="0.25">
      <c r="A302" s="35"/>
      <c r="B302" s="35"/>
      <c r="C302" s="35"/>
      <c r="D302" s="35"/>
      <c r="E302" s="151" t="str">
        <f>IF(A302&lt;&gt;"", VLOOKUP(A302, MEMBERS_INFO!$A$2:$B$21, 2, FALSE), "")</f>
        <v/>
      </c>
    </row>
    <row r="303" spans="1:5" ht="16.5" x14ac:dyDescent="0.25">
      <c r="A303" s="35"/>
      <c r="B303" s="35"/>
      <c r="C303" s="35"/>
      <c r="D303" s="35"/>
      <c r="E303" s="151" t="str">
        <f>IF(A303&lt;&gt;"", VLOOKUP(A303, MEMBERS_INFO!$A$2:$B$21, 2, FALSE), "")</f>
        <v/>
      </c>
    </row>
    <row r="304" spans="1:5" ht="16.5" x14ac:dyDescent="0.25">
      <c r="A304" s="35"/>
      <c r="B304" s="35"/>
      <c r="C304" s="35"/>
      <c r="D304" s="35"/>
      <c r="E304" s="151" t="str">
        <f>IF(A304&lt;&gt;"", VLOOKUP(A304, MEMBERS_INFO!$A$2:$B$21, 2, FALSE), "")</f>
        <v/>
      </c>
    </row>
    <row r="305" spans="1:5" ht="16.5" x14ac:dyDescent="0.25">
      <c r="A305" s="35"/>
      <c r="B305" s="35"/>
      <c r="C305" s="35"/>
      <c r="D305" s="35"/>
      <c r="E305" s="151" t="str">
        <f>IF(A305&lt;&gt;"", VLOOKUP(A305, MEMBERS_INFO!$A$2:$B$21, 2, FALSE), "")</f>
        <v/>
      </c>
    </row>
    <row r="306" spans="1:5" ht="16.5" x14ac:dyDescent="0.25">
      <c r="A306" s="35"/>
      <c r="B306" s="35"/>
      <c r="C306" s="35"/>
      <c r="D306" s="35"/>
      <c r="E306" s="151" t="str">
        <f>IF(A306&lt;&gt;"", VLOOKUP(A306, MEMBERS_INFO!$A$2:$B$21, 2, FALSE), "")</f>
        <v/>
      </c>
    </row>
    <row r="307" spans="1:5" ht="16.5" x14ac:dyDescent="0.25">
      <c r="A307" s="35"/>
      <c r="B307" s="35"/>
      <c r="C307" s="35"/>
      <c r="D307" s="35"/>
      <c r="E307" s="151" t="str">
        <f>IF(A307&lt;&gt;"", VLOOKUP(A307, MEMBERS_INFO!$A$2:$B$21, 2, FALSE), "")</f>
        <v/>
      </c>
    </row>
    <row r="308" spans="1:5" ht="16.5" x14ac:dyDescent="0.25">
      <c r="A308" s="35"/>
      <c r="B308" s="35"/>
      <c r="C308" s="35"/>
      <c r="D308" s="35"/>
      <c r="E308" s="151" t="str">
        <f>IF(A308&lt;&gt;"", VLOOKUP(A308, MEMBERS_INFO!$A$2:$B$21, 2, FALSE), "")</f>
        <v/>
      </c>
    </row>
    <row r="309" spans="1:5" ht="16.5" x14ac:dyDescent="0.25">
      <c r="A309" s="35"/>
      <c r="B309" s="35"/>
      <c r="C309" s="35"/>
      <c r="D309" s="35"/>
      <c r="E309" s="151" t="str">
        <f>IF(A309&lt;&gt;"", VLOOKUP(A309, MEMBERS_INFO!$A$2:$B$21, 2, FALSE), "")</f>
        <v/>
      </c>
    </row>
    <row r="310" spans="1:5" ht="16.5" x14ac:dyDescent="0.25">
      <c r="A310" s="35"/>
      <c r="B310" s="35"/>
      <c r="C310" s="35"/>
      <c r="D310" s="35"/>
      <c r="E310" s="151" t="str">
        <f>IF(A310&lt;&gt;"", VLOOKUP(A310, MEMBERS_INFO!$A$2:$B$21, 2, FALSE), "")</f>
        <v/>
      </c>
    </row>
    <row r="311" spans="1:5" ht="16.5" x14ac:dyDescent="0.25">
      <c r="A311" s="35"/>
      <c r="B311" s="35"/>
      <c r="C311" s="35"/>
      <c r="D311" s="35"/>
      <c r="E311" s="151" t="str">
        <f>IF(A311&lt;&gt;"", VLOOKUP(A311, MEMBERS_INFO!$A$2:$B$21, 2, FALSE), "")</f>
        <v/>
      </c>
    </row>
    <row r="312" spans="1:5" ht="16.5" x14ac:dyDescent="0.25">
      <c r="A312" s="35"/>
      <c r="B312" s="35"/>
      <c r="C312" s="35"/>
      <c r="D312" s="35"/>
      <c r="E312" s="151" t="str">
        <f>IF(A312&lt;&gt;"", VLOOKUP(A312, MEMBERS_INFO!$A$2:$B$21, 2, FALSE), "")</f>
        <v/>
      </c>
    </row>
    <row r="313" spans="1:5" ht="16.5" x14ac:dyDescent="0.25">
      <c r="A313" s="35"/>
      <c r="B313" s="35"/>
      <c r="C313" s="35"/>
      <c r="D313" s="35"/>
      <c r="E313" s="151" t="str">
        <f>IF(A313&lt;&gt;"", VLOOKUP(A313, MEMBERS_INFO!$A$2:$B$21, 2, FALSE), "")</f>
        <v/>
      </c>
    </row>
    <row r="314" spans="1:5" ht="16.5" x14ac:dyDescent="0.25">
      <c r="A314" s="35"/>
      <c r="B314" s="35"/>
      <c r="C314" s="35"/>
      <c r="D314" s="35"/>
      <c r="E314" s="151" t="str">
        <f>IF(A314&lt;&gt;"", VLOOKUP(A314, MEMBERS_INFO!$A$2:$B$21, 2, FALSE), "")</f>
        <v/>
      </c>
    </row>
    <row r="315" spans="1:5" ht="16.5" x14ac:dyDescent="0.25">
      <c r="A315" s="35"/>
      <c r="B315" s="35"/>
      <c r="C315" s="35"/>
      <c r="D315" s="35"/>
      <c r="E315" s="151" t="str">
        <f>IF(A315&lt;&gt;"", VLOOKUP(A315, MEMBERS_INFO!$A$2:$B$21, 2, FALSE), "")</f>
        <v/>
      </c>
    </row>
    <row r="316" spans="1:5" ht="16.5" x14ac:dyDescent="0.25">
      <c r="A316" s="35"/>
      <c r="B316" s="35"/>
      <c r="C316" s="35"/>
      <c r="D316" s="35"/>
      <c r="E316" s="151" t="str">
        <f>IF(A316&lt;&gt;"", VLOOKUP(A316, MEMBERS_INFO!$A$2:$B$21, 2, FALSE), "")</f>
        <v/>
      </c>
    </row>
    <row r="317" spans="1:5" ht="16.5" x14ac:dyDescent="0.25">
      <c r="A317" s="35"/>
      <c r="B317" s="35"/>
      <c r="C317" s="35"/>
      <c r="D317" s="35"/>
      <c r="E317" s="151" t="str">
        <f>IF(A317&lt;&gt;"", VLOOKUP(A317, MEMBERS_INFO!$A$2:$B$21, 2, FALSE), "")</f>
        <v/>
      </c>
    </row>
    <row r="318" spans="1:5" ht="16.5" x14ac:dyDescent="0.25">
      <c r="A318" s="35"/>
      <c r="B318" s="35"/>
      <c r="C318" s="35"/>
      <c r="D318" s="35"/>
      <c r="E318" s="151" t="str">
        <f>IF(A318&lt;&gt;"", VLOOKUP(A318, MEMBERS_INFO!$A$2:$B$21, 2, FALSE), "")</f>
        <v/>
      </c>
    </row>
    <row r="319" spans="1:5" ht="16.5" x14ac:dyDescent="0.25">
      <c r="A319" s="35"/>
      <c r="B319" s="35"/>
      <c r="C319" s="35"/>
      <c r="D319" s="35"/>
      <c r="E319" s="151" t="str">
        <f>IF(A319&lt;&gt;"", VLOOKUP(A319, MEMBERS_INFO!$A$2:$B$21, 2, FALSE), "")</f>
        <v/>
      </c>
    </row>
    <row r="320" spans="1:5" ht="16.5" x14ac:dyDescent="0.25">
      <c r="A320" s="35"/>
      <c r="B320" s="35"/>
      <c r="C320" s="35"/>
      <c r="D320" s="35"/>
      <c r="E320" s="151" t="str">
        <f>IF(A320&lt;&gt;"", VLOOKUP(A320, MEMBERS_INFO!$A$2:$B$21, 2, FALSE), "")</f>
        <v/>
      </c>
    </row>
    <row r="321" spans="1:5" ht="16.5" x14ac:dyDescent="0.25">
      <c r="A321" s="35"/>
      <c r="B321" s="35"/>
      <c r="C321" s="35"/>
      <c r="D321" s="35"/>
      <c r="E321" s="151" t="str">
        <f>IF(A321&lt;&gt;"", VLOOKUP(A321, MEMBERS_INFO!$A$2:$B$21, 2, FALSE), "")</f>
        <v/>
      </c>
    </row>
    <row r="322" spans="1:5" ht="16.5" x14ac:dyDescent="0.25">
      <c r="A322" s="35"/>
      <c r="B322" s="35"/>
      <c r="C322" s="35"/>
      <c r="D322" s="35"/>
      <c r="E322" s="151" t="str">
        <f>IF(A322&lt;&gt;"", VLOOKUP(A322, MEMBERS_INFO!$A$2:$B$21, 2, FALSE), "")</f>
        <v/>
      </c>
    </row>
    <row r="323" spans="1:5" ht="16.5" x14ac:dyDescent="0.25">
      <c r="A323" s="35"/>
      <c r="B323" s="35"/>
      <c r="C323" s="35"/>
      <c r="D323" s="35"/>
      <c r="E323" s="151" t="str">
        <f>IF(A323&lt;&gt;"", VLOOKUP(A323, MEMBERS_INFO!$A$2:$B$21, 2, FALSE), "")</f>
        <v/>
      </c>
    </row>
    <row r="324" spans="1:5" ht="16.5" x14ac:dyDescent="0.25">
      <c r="A324" s="35"/>
      <c r="B324" s="35"/>
      <c r="C324" s="35"/>
      <c r="D324" s="35"/>
      <c r="E324" s="151" t="str">
        <f>IF(A324&lt;&gt;"", VLOOKUP(A324, MEMBERS_INFO!$A$2:$B$21, 2, FALSE), "")</f>
        <v/>
      </c>
    </row>
    <row r="325" spans="1:5" ht="16.5" x14ac:dyDescent="0.25">
      <c r="A325" s="35"/>
      <c r="B325" s="35"/>
      <c r="C325" s="35"/>
      <c r="D325" s="35"/>
      <c r="E325" s="151" t="str">
        <f>IF(A325&lt;&gt;"", VLOOKUP(A325, MEMBERS_INFO!$A$2:$B$21, 2, FALSE), "")</f>
        <v/>
      </c>
    </row>
    <row r="326" spans="1:5" ht="16.5" x14ac:dyDescent="0.25">
      <c r="A326" s="35"/>
      <c r="B326" s="35"/>
      <c r="C326" s="35"/>
      <c r="D326" s="35"/>
      <c r="E326" s="151" t="str">
        <f>IF(A326&lt;&gt;"", VLOOKUP(A326, MEMBERS_INFO!$A$2:$B$21, 2, FALSE), "")</f>
        <v/>
      </c>
    </row>
    <row r="327" spans="1:5" ht="16.5" x14ac:dyDescent="0.25">
      <c r="A327" s="35"/>
      <c r="B327" s="35"/>
      <c r="C327" s="35"/>
      <c r="D327" s="35"/>
      <c r="E327" s="151" t="str">
        <f>IF(A327&lt;&gt;"", VLOOKUP(A327, MEMBERS_INFO!$A$2:$B$21, 2, FALSE), "")</f>
        <v/>
      </c>
    </row>
    <row r="328" spans="1:5" ht="16.5" x14ac:dyDescent="0.25">
      <c r="A328" s="35"/>
      <c r="B328" s="35"/>
      <c r="C328" s="35"/>
      <c r="D328" s="35"/>
      <c r="E328" s="151" t="str">
        <f>IF(A328&lt;&gt;"", VLOOKUP(A328, MEMBERS_INFO!$A$2:$B$21, 2, FALSE), "")</f>
        <v/>
      </c>
    </row>
    <row r="329" spans="1:5" ht="16.5" x14ac:dyDescent="0.25">
      <c r="A329" s="35"/>
      <c r="B329" s="35"/>
      <c r="C329" s="35"/>
      <c r="D329" s="35"/>
      <c r="E329" s="151" t="str">
        <f>IF(A329&lt;&gt;"", VLOOKUP(A329, MEMBERS_INFO!$A$2:$B$21, 2, FALSE), "")</f>
        <v/>
      </c>
    </row>
    <row r="330" spans="1:5" ht="16.5" x14ac:dyDescent="0.25">
      <c r="A330" s="35"/>
      <c r="B330" s="35"/>
      <c r="C330" s="35"/>
      <c r="D330" s="35"/>
      <c r="E330" s="151" t="str">
        <f>IF(A330&lt;&gt;"", VLOOKUP(A330, MEMBERS_INFO!$A$2:$B$21, 2, FALSE), "")</f>
        <v/>
      </c>
    </row>
    <row r="331" spans="1:5" ht="16.5" x14ac:dyDescent="0.25">
      <c r="A331" s="35"/>
      <c r="B331" s="35"/>
      <c r="C331" s="35"/>
      <c r="D331" s="35"/>
      <c r="E331" s="151" t="str">
        <f>IF(A331&lt;&gt;"", VLOOKUP(A331, MEMBERS_INFO!$A$2:$B$21, 2, FALSE), "")</f>
        <v/>
      </c>
    </row>
    <row r="332" spans="1:5" ht="16.5" x14ac:dyDescent="0.25">
      <c r="A332" s="35"/>
      <c r="B332" s="35"/>
      <c r="C332" s="35"/>
      <c r="D332" s="35"/>
      <c r="E332" s="151" t="str">
        <f>IF(A332&lt;&gt;"", VLOOKUP(A332, MEMBERS_INFO!$A$2:$B$21, 2, FALSE), "")</f>
        <v/>
      </c>
    </row>
    <row r="333" spans="1:5" ht="16.5" x14ac:dyDescent="0.25">
      <c r="A333" s="35"/>
      <c r="B333" s="35"/>
      <c r="C333" s="35"/>
      <c r="D333" s="35"/>
      <c r="E333" s="151" t="str">
        <f>IF(A333&lt;&gt;"", VLOOKUP(A333, MEMBERS_INFO!$A$2:$B$21, 2, FALSE), "")</f>
        <v/>
      </c>
    </row>
    <row r="334" spans="1:5" ht="16.5" x14ac:dyDescent="0.25">
      <c r="A334" s="35"/>
      <c r="B334" s="35"/>
      <c r="C334" s="35"/>
      <c r="D334" s="35"/>
      <c r="E334" s="151" t="str">
        <f>IF(A334&lt;&gt;"", VLOOKUP(A334, MEMBERS_INFO!$A$2:$B$21, 2, FALSE), "")</f>
        <v/>
      </c>
    </row>
    <row r="335" spans="1:5" ht="16.5" x14ac:dyDescent="0.25">
      <c r="A335" s="35"/>
      <c r="B335" s="35"/>
      <c r="C335" s="35"/>
      <c r="D335" s="35"/>
      <c r="E335" s="151" t="str">
        <f>IF(A335&lt;&gt;"", VLOOKUP(A335, MEMBERS_INFO!$A$2:$B$21, 2, FALSE), "")</f>
        <v/>
      </c>
    </row>
    <row r="336" spans="1:5" ht="16.5" x14ac:dyDescent="0.25">
      <c r="A336" s="35"/>
      <c r="B336" s="35"/>
      <c r="C336" s="35"/>
      <c r="D336" s="35"/>
      <c r="E336" s="151" t="str">
        <f>IF(A336&lt;&gt;"", VLOOKUP(A336, MEMBERS_INFO!$A$2:$B$21, 2, FALSE), "")</f>
        <v/>
      </c>
    </row>
    <row r="337" spans="1:5" ht="16.5" x14ac:dyDescent="0.25">
      <c r="A337" s="35"/>
      <c r="B337" s="35"/>
      <c r="C337" s="35"/>
      <c r="D337" s="35"/>
      <c r="E337" s="151" t="str">
        <f>IF(A337&lt;&gt;"", VLOOKUP(A337, MEMBERS_INFO!$A$2:$B$21, 2, FALSE), "")</f>
        <v/>
      </c>
    </row>
    <row r="338" spans="1:5" ht="16.5" x14ac:dyDescent="0.25">
      <c r="A338" s="35"/>
      <c r="B338" s="35"/>
      <c r="C338" s="35"/>
      <c r="D338" s="35"/>
      <c r="E338" s="151" t="str">
        <f>IF(A338&lt;&gt;"", VLOOKUP(A338, MEMBERS_INFO!$A$2:$B$21, 2, FALSE), "")</f>
        <v/>
      </c>
    </row>
    <row r="339" spans="1:5" ht="16.5" x14ac:dyDescent="0.25">
      <c r="A339" s="35"/>
      <c r="B339" s="35"/>
      <c r="C339" s="35"/>
      <c r="D339" s="35"/>
      <c r="E339" s="151" t="str">
        <f>IF(A339&lt;&gt;"", VLOOKUP(A339, MEMBERS_INFO!$A$2:$B$21, 2, FALSE), "")</f>
        <v/>
      </c>
    </row>
    <row r="340" spans="1:5" ht="16.5" x14ac:dyDescent="0.25">
      <c r="A340" s="35"/>
      <c r="B340" s="35"/>
      <c r="C340" s="35"/>
      <c r="D340" s="35"/>
      <c r="E340" s="151" t="str">
        <f>IF(A340&lt;&gt;"", VLOOKUP(A340, MEMBERS_INFO!$A$2:$B$21, 2, FALSE), "")</f>
        <v/>
      </c>
    </row>
    <row r="341" spans="1:5" ht="16.5" x14ac:dyDescent="0.25">
      <c r="A341" s="35"/>
      <c r="B341" s="35"/>
      <c r="C341" s="35"/>
      <c r="D341" s="35"/>
      <c r="E341" s="151" t="str">
        <f>IF(A341&lt;&gt;"", VLOOKUP(A341, MEMBERS_INFO!$A$2:$B$21, 2, FALSE), "")</f>
        <v/>
      </c>
    </row>
    <row r="342" spans="1:5" ht="16.5" x14ac:dyDescent="0.25">
      <c r="A342" s="35"/>
      <c r="B342" s="35"/>
      <c r="C342" s="35"/>
      <c r="D342" s="35"/>
      <c r="E342" s="151" t="str">
        <f>IF(A342&lt;&gt;"", VLOOKUP(A342, MEMBERS_INFO!$A$2:$B$21, 2, FALSE), "")</f>
        <v/>
      </c>
    </row>
    <row r="343" spans="1:5" ht="16.5" x14ac:dyDescent="0.25">
      <c r="A343" s="35"/>
      <c r="B343" s="35"/>
      <c r="C343" s="35"/>
      <c r="D343" s="35"/>
      <c r="E343" s="151" t="str">
        <f>IF(A343&lt;&gt;"", VLOOKUP(A343, MEMBERS_INFO!$A$2:$B$21, 2, FALSE), "")</f>
        <v/>
      </c>
    </row>
    <row r="344" spans="1:5" ht="16.5" x14ac:dyDescent="0.25">
      <c r="A344" s="35"/>
      <c r="B344" s="35"/>
      <c r="C344" s="35"/>
      <c r="D344" s="35"/>
      <c r="E344" s="151" t="str">
        <f>IF(A344&lt;&gt;"", VLOOKUP(A344, MEMBERS_INFO!$A$2:$B$21, 2, FALSE), "")</f>
        <v/>
      </c>
    </row>
    <row r="345" spans="1:5" ht="16.5" x14ac:dyDescent="0.25">
      <c r="A345" s="35"/>
      <c r="B345" s="35"/>
      <c r="C345" s="35"/>
      <c r="D345" s="35"/>
      <c r="E345" s="151" t="str">
        <f>IF(A345&lt;&gt;"", VLOOKUP(A345, MEMBERS_INFO!$A$2:$B$21, 2, FALSE), "")</f>
        <v/>
      </c>
    </row>
    <row r="346" spans="1:5" ht="16.5" x14ac:dyDescent="0.25">
      <c r="A346" s="35"/>
      <c r="B346" s="35"/>
      <c r="C346" s="35"/>
      <c r="D346" s="35"/>
      <c r="E346" s="151" t="str">
        <f>IF(A346&lt;&gt;"", VLOOKUP(A346, MEMBERS_INFO!$A$2:$B$21, 2, FALSE), "")</f>
        <v/>
      </c>
    </row>
    <row r="347" spans="1:5" ht="16.5" x14ac:dyDescent="0.25">
      <c r="A347" s="35"/>
      <c r="B347" s="35"/>
      <c r="C347" s="35"/>
      <c r="D347" s="35"/>
      <c r="E347" s="151" t="str">
        <f>IF(A347&lt;&gt;"", VLOOKUP(A347, MEMBERS_INFO!$A$2:$B$21, 2, FALSE), "")</f>
        <v/>
      </c>
    </row>
    <row r="348" spans="1:5" ht="16.5" x14ac:dyDescent="0.25">
      <c r="A348" s="35"/>
      <c r="B348" s="35"/>
      <c r="C348" s="35"/>
      <c r="D348" s="35"/>
      <c r="E348" s="151" t="str">
        <f>IF(A348&lt;&gt;"", VLOOKUP(A348, MEMBERS_INFO!$A$2:$B$21, 2, FALSE), "")</f>
        <v/>
      </c>
    </row>
    <row r="349" spans="1:5" ht="16.5" x14ac:dyDescent="0.25">
      <c r="A349" s="35"/>
      <c r="B349" s="35"/>
      <c r="C349" s="35"/>
      <c r="D349" s="35"/>
      <c r="E349" s="151" t="str">
        <f>IF(A349&lt;&gt;"", VLOOKUP(A349, MEMBERS_INFO!$A$2:$B$21, 2, FALSE), "")</f>
        <v/>
      </c>
    </row>
    <row r="350" spans="1:5" ht="16.5" x14ac:dyDescent="0.25">
      <c r="A350" s="35"/>
      <c r="B350" s="35"/>
      <c r="C350" s="35"/>
      <c r="D350" s="35"/>
      <c r="E350" s="151" t="str">
        <f>IF(A350&lt;&gt;"", VLOOKUP(A350, MEMBERS_INFO!$A$2:$B$21, 2, FALSE), "")</f>
        <v/>
      </c>
    </row>
    <row r="351" spans="1:5" ht="16.5" x14ac:dyDescent="0.25">
      <c r="A351" s="35"/>
      <c r="B351" s="35"/>
      <c r="C351" s="35"/>
      <c r="D351" s="35"/>
      <c r="E351" s="151" t="str">
        <f>IF(A351&lt;&gt;"", VLOOKUP(A351, MEMBERS_INFO!$A$2:$B$21, 2, FALSE), "")</f>
        <v/>
      </c>
    </row>
    <row r="352" spans="1:5" ht="16.5" x14ac:dyDescent="0.25">
      <c r="A352" s="35"/>
      <c r="B352" s="35"/>
      <c r="C352" s="35"/>
      <c r="D352" s="35"/>
      <c r="E352" s="151" t="str">
        <f>IF(A352&lt;&gt;"", VLOOKUP(A352, MEMBERS_INFO!$A$2:$B$21, 2, FALSE), "")</f>
        <v/>
      </c>
    </row>
    <row r="353" spans="1:5" ht="16.5" x14ac:dyDescent="0.25">
      <c r="A353" s="35"/>
      <c r="B353" s="35"/>
      <c r="C353" s="35"/>
      <c r="D353" s="35"/>
      <c r="E353" s="151" t="str">
        <f>IF(A353&lt;&gt;"", VLOOKUP(A353, MEMBERS_INFO!$A$2:$B$21, 2, FALSE), "")</f>
        <v/>
      </c>
    </row>
    <row r="354" spans="1:5" ht="16.5" x14ac:dyDescent="0.25">
      <c r="A354" s="35"/>
      <c r="B354" s="35"/>
      <c r="C354" s="35"/>
      <c r="D354" s="35"/>
      <c r="E354" s="151" t="str">
        <f>IF(A354&lt;&gt;"", VLOOKUP(A354, MEMBERS_INFO!$A$2:$B$21, 2, FALSE), "")</f>
        <v/>
      </c>
    </row>
    <row r="355" spans="1:5" ht="16.5" x14ac:dyDescent="0.25">
      <c r="A355" s="35"/>
      <c r="B355" s="35"/>
      <c r="C355" s="35"/>
      <c r="D355" s="35"/>
      <c r="E355" s="151" t="str">
        <f>IF(A355&lt;&gt;"", VLOOKUP(A355, MEMBERS_INFO!$A$2:$B$21, 2, FALSE), "")</f>
        <v/>
      </c>
    </row>
    <row r="356" spans="1:5" ht="16.5" x14ac:dyDescent="0.25">
      <c r="A356" s="35"/>
      <c r="B356" s="35"/>
      <c r="C356" s="35"/>
      <c r="D356" s="35"/>
      <c r="E356" s="151" t="str">
        <f>IF(A356&lt;&gt;"", VLOOKUP(A356, MEMBERS_INFO!$A$2:$B$21, 2, FALSE), "")</f>
        <v/>
      </c>
    </row>
    <row r="357" spans="1:5" ht="16.5" x14ac:dyDescent="0.25">
      <c r="A357" s="35"/>
      <c r="B357" s="35"/>
      <c r="C357" s="35"/>
      <c r="D357" s="35"/>
      <c r="E357" s="151" t="str">
        <f>IF(A357&lt;&gt;"", VLOOKUP(A357, MEMBERS_INFO!$A$2:$B$21, 2, FALSE), "")</f>
        <v/>
      </c>
    </row>
    <row r="358" spans="1:5" ht="16.5" x14ac:dyDescent="0.25">
      <c r="A358" s="35"/>
      <c r="B358" s="35"/>
      <c r="C358" s="35"/>
      <c r="D358" s="35"/>
      <c r="E358" s="151" t="str">
        <f>IF(A358&lt;&gt;"", VLOOKUP(A358, MEMBERS_INFO!$A$2:$B$21, 2, FALSE), "")</f>
        <v/>
      </c>
    </row>
    <row r="359" spans="1:5" ht="16.5" x14ac:dyDescent="0.25">
      <c r="A359" s="35"/>
      <c r="B359" s="35"/>
      <c r="C359" s="35"/>
      <c r="D359" s="35"/>
      <c r="E359" s="151" t="str">
        <f>IF(A359&lt;&gt;"", VLOOKUP(A359, MEMBERS_INFO!$A$2:$B$21, 2, FALSE), "")</f>
        <v/>
      </c>
    </row>
    <row r="360" spans="1:5" ht="16.5" x14ac:dyDescent="0.25">
      <c r="A360" s="35"/>
      <c r="B360" s="35"/>
      <c r="C360" s="35"/>
      <c r="D360" s="35"/>
      <c r="E360" s="151" t="str">
        <f>IF(A360&lt;&gt;"", VLOOKUP(A360, MEMBERS_INFO!$A$2:$B$21, 2, FALSE), "")</f>
        <v/>
      </c>
    </row>
    <row r="361" spans="1:5" ht="16.5" x14ac:dyDescent="0.25">
      <c r="A361" s="35"/>
      <c r="B361" s="35"/>
      <c r="C361" s="35"/>
      <c r="D361" s="35"/>
      <c r="E361" s="151" t="str">
        <f>IF(A361&lt;&gt;"", VLOOKUP(A361, MEMBERS_INFO!$A$2:$B$21, 2, FALSE), "")</f>
        <v/>
      </c>
    </row>
    <row r="362" spans="1:5" ht="16.5" x14ac:dyDescent="0.25">
      <c r="A362" s="35"/>
      <c r="B362" s="35"/>
      <c r="C362" s="35"/>
      <c r="D362" s="35"/>
      <c r="E362" s="151" t="str">
        <f>IF(A362&lt;&gt;"", VLOOKUP(A362, MEMBERS_INFO!$A$2:$B$21, 2, FALSE), "")</f>
        <v/>
      </c>
    </row>
    <row r="363" spans="1:5" ht="16.5" x14ac:dyDescent="0.25">
      <c r="A363" s="35"/>
      <c r="B363" s="35"/>
      <c r="C363" s="35"/>
      <c r="D363" s="35"/>
      <c r="E363" s="151" t="str">
        <f>IF(A363&lt;&gt;"", VLOOKUP(A363, MEMBERS_INFO!$A$2:$B$21, 2, FALSE), "")</f>
        <v/>
      </c>
    </row>
    <row r="364" spans="1:5" ht="16.5" x14ac:dyDescent="0.25">
      <c r="A364" s="35"/>
      <c r="B364" s="35"/>
      <c r="C364" s="35"/>
      <c r="D364" s="35"/>
      <c r="E364" s="151" t="str">
        <f>IF(A364&lt;&gt;"", VLOOKUP(A364, MEMBERS_INFO!$A$2:$B$21, 2, FALSE), "")</f>
        <v/>
      </c>
    </row>
    <row r="365" spans="1:5" ht="16.5" x14ac:dyDescent="0.25">
      <c r="A365" s="35"/>
      <c r="B365" s="35"/>
      <c r="C365" s="35"/>
      <c r="D365" s="35"/>
      <c r="E365" s="151" t="str">
        <f>IF(A365&lt;&gt;"", VLOOKUP(A365, MEMBERS_INFO!$A$2:$B$21, 2, FALSE), "")</f>
        <v/>
      </c>
    </row>
    <row r="366" spans="1:5" ht="16.5" x14ac:dyDescent="0.25">
      <c r="A366" s="35"/>
      <c r="B366" s="35"/>
      <c r="C366" s="35"/>
      <c r="D366" s="35"/>
      <c r="E366" s="151" t="str">
        <f>IF(A366&lt;&gt;"", VLOOKUP(A366, MEMBERS_INFO!$A$2:$B$21, 2, FALSE), "")</f>
        <v/>
      </c>
    </row>
    <row r="367" spans="1:5" ht="16.5" x14ac:dyDescent="0.25">
      <c r="A367" s="35"/>
      <c r="B367" s="35"/>
      <c r="C367" s="35"/>
      <c r="D367" s="35"/>
      <c r="E367" s="151" t="str">
        <f>IF(A367&lt;&gt;"", VLOOKUP(A367, MEMBERS_INFO!$A$2:$B$21, 2, FALSE), "")</f>
        <v/>
      </c>
    </row>
    <row r="368" spans="1:5" ht="16.5" x14ac:dyDescent="0.25">
      <c r="A368" s="35"/>
      <c r="B368" s="35"/>
      <c r="C368" s="35"/>
      <c r="D368" s="35"/>
      <c r="E368" s="151" t="str">
        <f>IF(A368&lt;&gt;"", VLOOKUP(A368, MEMBERS_INFO!$A$2:$B$21, 2, FALSE), "")</f>
        <v/>
      </c>
    </row>
    <row r="369" spans="1:5" ht="16.5" x14ac:dyDescent="0.25">
      <c r="A369" s="35"/>
      <c r="B369" s="35"/>
      <c r="C369" s="35"/>
      <c r="D369" s="35"/>
      <c r="E369" s="151" t="str">
        <f>IF(A369&lt;&gt;"", VLOOKUP(A369, MEMBERS_INFO!$A$2:$B$21, 2, FALSE), "")</f>
        <v/>
      </c>
    </row>
    <row r="370" spans="1:5" ht="16.5" x14ac:dyDescent="0.25">
      <c r="A370" s="35"/>
      <c r="B370" s="35"/>
      <c r="C370" s="35"/>
      <c r="D370" s="35"/>
      <c r="E370" s="151" t="str">
        <f>IF(A370&lt;&gt;"", VLOOKUP(A370, MEMBERS_INFO!$A$2:$B$21, 2, FALSE), "")</f>
        <v/>
      </c>
    </row>
    <row r="371" spans="1:5" ht="16.5" x14ac:dyDescent="0.25">
      <c r="A371" s="35"/>
      <c r="B371" s="35"/>
      <c r="C371" s="35"/>
      <c r="D371" s="35"/>
      <c r="E371" s="151" t="str">
        <f>IF(A371&lt;&gt;"", VLOOKUP(A371, MEMBERS_INFO!$A$2:$B$21, 2, FALSE), "")</f>
        <v/>
      </c>
    </row>
    <row r="372" spans="1:5" ht="16.5" x14ac:dyDescent="0.25">
      <c r="A372" s="35"/>
      <c r="B372" s="35"/>
      <c r="C372" s="35"/>
      <c r="D372" s="35"/>
      <c r="E372" s="151" t="str">
        <f>IF(A372&lt;&gt;"", VLOOKUP(A372, MEMBERS_INFO!$A$2:$B$21, 2, FALSE), "")</f>
        <v/>
      </c>
    </row>
    <row r="373" spans="1:5" ht="16.5" x14ac:dyDescent="0.25">
      <c r="A373" s="35"/>
      <c r="B373" s="35"/>
      <c r="C373" s="35"/>
      <c r="D373" s="35"/>
      <c r="E373" s="151" t="str">
        <f>IF(A373&lt;&gt;"", VLOOKUP(A373, MEMBERS_INFO!$A$2:$B$21, 2, FALSE), "")</f>
        <v/>
      </c>
    </row>
    <row r="374" spans="1:5" ht="16.5" x14ac:dyDescent="0.25">
      <c r="A374" s="35"/>
      <c r="B374" s="35"/>
      <c r="C374" s="35"/>
      <c r="D374" s="35"/>
      <c r="E374" s="151" t="str">
        <f>IF(A374&lt;&gt;"", VLOOKUP(A374, MEMBERS_INFO!$A$2:$B$21, 2, FALSE), "")</f>
        <v/>
      </c>
    </row>
    <row r="375" spans="1:5" ht="16.5" x14ac:dyDescent="0.25">
      <c r="A375" s="35"/>
      <c r="B375" s="35"/>
      <c r="C375" s="35"/>
      <c r="D375" s="35"/>
      <c r="E375" s="151" t="str">
        <f>IF(A375&lt;&gt;"", VLOOKUP(A375, MEMBERS_INFO!$A$2:$B$21, 2, FALSE), "")</f>
        <v/>
      </c>
    </row>
    <row r="376" spans="1:5" ht="16.5" x14ac:dyDescent="0.25">
      <c r="A376" s="35"/>
      <c r="B376" s="35"/>
      <c r="C376" s="35"/>
      <c r="D376" s="35"/>
      <c r="E376" s="151" t="str">
        <f>IF(A376&lt;&gt;"", VLOOKUP(A376, MEMBERS_INFO!$A$2:$B$21, 2, FALSE), "")</f>
        <v/>
      </c>
    </row>
    <row r="377" spans="1:5" ht="16.5" x14ac:dyDescent="0.25">
      <c r="A377" s="35"/>
      <c r="B377" s="35"/>
      <c r="C377" s="35"/>
      <c r="D377" s="35"/>
      <c r="E377" s="151" t="str">
        <f>IF(A377&lt;&gt;"", VLOOKUP(A377, MEMBERS_INFO!$A$2:$B$21, 2, FALSE), "")</f>
        <v/>
      </c>
    </row>
    <row r="378" spans="1:5" ht="16.5" x14ac:dyDescent="0.25">
      <c r="A378" s="35"/>
      <c r="B378" s="35"/>
      <c r="C378" s="35"/>
      <c r="D378" s="35"/>
      <c r="E378" s="151" t="str">
        <f>IF(A378&lt;&gt;"", VLOOKUP(A378, MEMBERS_INFO!$A$2:$B$21, 2, FALSE), "")</f>
        <v/>
      </c>
    </row>
    <row r="379" spans="1:5" ht="16.5" x14ac:dyDescent="0.25">
      <c r="A379" s="35"/>
      <c r="B379" s="35"/>
      <c r="C379" s="35"/>
      <c r="D379" s="35"/>
      <c r="E379" s="151" t="str">
        <f>IF(A379&lt;&gt;"", VLOOKUP(A379, MEMBERS_INFO!$A$2:$B$21, 2, FALSE), "")</f>
        <v/>
      </c>
    </row>
    <row r="380" spans="1:5" ht="16.5" x14ac:dyDescent="0.25">
      <c r="A380" s="35"/>
      <c r="B380" s="35"/>
      <c r="C380" s="35"/>
      <c r="D380" s="35"/>
      <c r="E380" s="151" t="str">
        <f>IF(A380&lt;&gt;"", VLOOKUP(A380, MEMBERS_INFO!$A$2:$B$21, 2, FALSE), "")</f>
        <v/>
      </c>
    </row>
    <row r="381" spans="1:5" ht="16.5" x14ac:dyDescent="0.25">
      <c r="A381" s="35"/>
      <c r="B381" s="35"/>
      <c r="C381" s="35"/>
      <c r="D381" s="35"/>
      <c r="E381" s="151" t="str">
        <f>IF(A381&lt;&gt;"", VLOOKUP(A381, MEMBERS_INFO!$A$2:$B$21, 2, FALSE), "")</f>
        <v/>
      </c>
    </row>
    <row r="382" spans="1:5" ht="16.5" x14ac:dyDescent="0.25">
      <c r="A382" s="35"/>
      <c r="B382" s="35"/>
      <c r="C382" s="35"/>
      <c r="D382" s="35"/>
      <c r="E382" s="151" t="str">
        <f>IF(A382&lt;&gt;"", VLOOKUP(A382, MEMBERS_INFO!$A$2:$B$21, 2, FALSE), "")</f>
        <v/>
      </c>
    </row>
    <row r="383" spans="1:5" ht="16.5" x14ac:dyDescent="0.25">
      <c r="A383" s="35"/>
      <c r="B383" s="35"/>
      <c r="C383" s="35"/>
      <c r="D383" s="35"/>
      <c r="E383" s="151" t="str">
        <f>IF(A383&lt;&gt;"", VLOOKUP(A383, MEMBERS_INFO!$A$2:$B$21, 2, FALSE), "")</f>
        <v/>
      </c>
    </row>
    <row r="384" spans="1:5" ht="16.5" x14ac:dyDescent="0.25">
      <c r="A384" s="35"/>
      <c r="B384" s="35"/>
      <c r="C384" s="35"/>
      <c r="D384" s="35"/>
      <c r="E384" s="151" t="str">
        <f>IF(A384&lt;&gt;"", VLOOKUP(A384, MEMBERS_INFO!$A$2:$B$21, 2, FALSE), "")</f>
        <v/>
      </c>
    </row>
    <row r="385" spans="1:5" ht="16.5" x14ac:dyDescent="0.25">
      <c r="A385" s="35"/>
      <c r="B385" s="35"/>
      <c r="C385" s="35"/>
      <c r="D385" s="35"/>
      <c r="E385" s="151" t="str">
        <f>IF(A385&lt;&gt;"", VLOOKUP(A385, MEMBERS_INFO!$A$2:$B$21, 2, FALSE), "")</f>
        <v/>
      </c>
    </row>
    <row r="386" spans="1:5" ht="16.5" x14ac:dyDescent="0.25">
      <c r="A386" s="35"/>
      <c r="B386" s="35"/>
      <c r="C386" s="35"/>
      <c r="D386" s="35"/>
      <c r="E386" s="151" t="str">
        <f>IF(A386&lt;&gt;"", VLOOKUP(A386, MEMBERS_INFO!$A$2:$B$21, 2, FALSE), "")</f>
        <v/>
      </c>
    </row>
    <row r="387" spans="1:5" ht="16.5" x14ac:dyDescent="0.25">
      <c r="A387" s="35"/>
      <c r="B387" s="35"/>
      <c r="C387" s="35"/>
      <c r="D387" s="35"/>
      <c r="E387" s="151" t="str">
        <f>IF(A387&lt;&gt;"", VLOOKUP(A387, MEMBERS_INFO!$A$2:$B$21, 2, FALSE), "")</f>
        <v/>
      </c>
    </row>
    <row r="388" spans="1:5" ht="16.5" x14ac:dyDescent="0.25">
      <c r="A388" s="35"/>
      <c r="B388" s="35"/>
      <c r="C388" s="35"/>
      <c r="D388" s="35"/>
      <c r="E388" s="151" t="str">
        <f>IF(A388&lt;&gt;"", VLOOKUP(A388, MEMBERS_INFO!$A$2:$B$21, 2, FALSE), "")</f>
        <v/>
      </c>
    </row>
    <row r="389" spans="1:5" ht="16.5" x14ac:dyDescent="0.25">
      <c r="A389" s="35"/>
      <c r="B389" s="35"/>
      <c r="C389" s="35"/>
      <c r="D389" s="35"/>
      <c r="E389" s="151" t="str">
        <f>IF(A389&lt;&gt;"", VLOOKUP(A389, MEMBERS_INFO!$A$2:$B$21, 2, FALSE), "")</f>
        <v/>
      </c>
    </row>
    <row r="390" spans="1:5" ht="16.5" x14ac:dyDescent="0.25">
      <c r="A390" s="35"/>
      <c r="B390" s="35"/>
      <c r="C390" s="35"/>
      <c r="D390" s="35"/>
      <c r="E390" s="151" t="str">
        <f>IF(A390&lt;&gt;"", VLOOKUP(A390, MEMBERS_INFO!$A$2:$B$21, 2, FALSE), "")</f>
        <v/>
      </c>
    </row>
    <row r="391" spans="1:5" ht="16.5" x14ac:dyDescent="0.25">
      <c r="A391" s="35"/>
      <c r="B391" s="35"/>
      <c r="C391" s="35"/>
      <c r="D391" s="35"/>
      <c r="E391" s="151" t="str">
        <f>IF(A391&lt;&gt;"", VLOOKUP(A391, MEMBERS_INFO!$A$2:$B$21, 2, FALSE), "")</f>
        <v/>
      </c>
    </row>
    <row r="392" spans="1:5" ht="16.5" x14ac:dyDescent="0.25">
      <c r="A392" s="35"/>
      <c r="B392" s="35"/>
      <c r="C392" s="35"/>
      <c r="D392" s="35"/>
      <c r="E392" s="151" t="str">
        <f>IF(A392&lt;&gt;"", VLOOKUP(A392, MEMBERS_INFO!$A$2:$B$21, 2, FALSE), "")</f>
        <v/>
      </c>
    </row>
    <row r="393" spans="1:5" ht="16.5" x14ac:dyDescent="0.25">
      <c r="A393" s="35"/>
      <c r="B393" s="35"/>
      <c r="C393" s="35"/>
      <c r="D393" s="35"/>
      <c r="E393" s="151" t="str">
        <f>IF(A393&lt;&gt;"", VLOOKUP(A393, MEMBERS_INFO!$A$2:$B$21, 2, FALSE), "")</f>
        <v/>
      </c>
    </row>
    <row r="394" spans="1:5" ht="16.5" x14ac:dyDescent="0.25">
      <c r="A394" s="35"/>
      <c r="B394" s="35"/>
      <c r="C394" s="35"/>
      <c r="D394" s="35"/>
      <c r="E394" s="151" t="str">
        <f>IF(A394&lt;&gt;"", VLOOKUP(A394, MEMBERS_INFO!$A$2:$B$21, 2, FALSE), "")</f>
        <v/>
      </c>
    </row>
    <row r="395" spans="1:5" ht="16.5" x14ac:dyDescent="0.25">
      <c r="A395" s="35"/>
      <c r="B395" s="35"/>
      <c r="C395" s="35"/>
      <c r="D395" s="35"/>
      <c r="E395" s="151" t="str">
        <f>IF(A395&lt;&gt;"", VLOOKUP(A395, MEMBERS_INFO!$A$2:$B$21, 2, FALSE), "")</f>
        <v/>
      </c>
    </row>
    <row r="396" spans="1:5" ht="16.5" x14ac:dyDescent="0.25">
      <c r="A396" s="35"/>
      <c r="B396" s="35"/>
      <c r="C396" s="35"/>
      <c r="D396" s="35"/>
      <c r="E396" s="151" t="str">
        <f>IF(A396&lt;&gt;"", VLOOKUP(A396, MEMBERS_INFO!$A$2:$B$21, 2, FALSE), "")</f>
        <v/>
      </c>
    </row>
    <row r="397" spans="1:5" ht="16.5" x14ac:dyDescent="0.25">
      <c r="A397" s="35"/>
      <c r="B397" s="35"/>
      <c r="C397" s="35"/>
      <c r="D397" s="35"/>
      <c r="E397" s="151" t="str">
        <f>IF(A397&lt;&gt;"", VLOOKUP(A397, MEMBERS_INFO!$A$2:$B$21, 2, FALSE), "")</f>
        <v/>
      </c>
    </row>
    <row r="398" spans="1:5" ht="16.5" x14ac:dyDescent="0.25">
      <c r="A398" s="35"/>
      <c r="B398" s="35"/>
      <c r="C398" s="35"/>
      <c r="D398" s="35"/>
      <c r="E398" s="151" t="str">
        <f>IF(A398&lt;&gt;"", VLOOKUP(A398, MEMBERS_INFO!$A$2:$B$21, 2, FALSE), "")</f>
        <v/>
      </c>
    </row>
    <row r="399" spans="1:5" ht="16.5" x14ac:dyDescent="0.25">
      <c r="A399" s="35"/>
      <c r="B399" s="35"/>
      <c r="C399" s="35"/>
      <c r="D399" s="35"/>
      <c r="E399" s="151" t="str">
        <f>IF(A399&lt;&gt;"", VLOOKUP(A399, MEMBERS_INFO!$A$2:$B$21, 2, FALSE), "")</f>
        <v/>
      </c>
    </row>
    <row r="400" spans="1:5" ht="16.5" x14ac:dyDescent="0.25">
      <c r="A400" s="35"/>
      <c r="B400" s="35"/>
      <c r="C400" s="35"/>
      <c r="D400" s="35"/>
      <c r="E400" s="151" t="str">
        <f>IF(A400&lt;&gt;"", VLOOKUP(A400, MEMBERS_INFO!$A$2:$B$21, 2, FALSE), "")</f>
        <v/>
      </c>
    </row>
    <row r="401" spans="1:5" ht="16.5" x14ac:dyDescent="0.25">
      <c r="A401" s="35"/>
      <c r="B401" s="35"/>
      <c r="C401" s="35"/>
      <c r="D401" s="35"/>
      <c r="E401" s="151" t="str">
        <f>IF(A401&lt;&gt;"", VLOOKUP(A401, MEMBERS_INFO!$A$2:$B$21, 2, FALSE), "")</f>
        <v/>
      </c>
    </row>
    <row r="402" spans="1:5" ht="16.5" x14ac:dyDescent="0.25">
      <c r="A402" s="35"/>
      <c r="B402" s="35"/>
      <c r="C402" s="35"/>
      <c r="D402" s="35"/>
      <c r="E402" s="151" t="str">
        <f>IF(A402&lt;&gt;"", VLOOKUP(A402, MEMBERS_INFO!$A$2:$B$21, 2, FALSE), "")</f>
        <v/>
      </c>
    </row>
    <row r="403" spans="1:5" ht="16.5" x14ac:dyDescent="0.25">
      <c r="A403" s="35"/>
      <c r="B403" s="35"/>
      <c r="C403" s="35"/>
      <c r="D403" s="35"/>
      <c r="E403" s="151" t="str">
        <f>IF(A403&lt;&gt;"", VLOOKUP(A403, MEMBERS_INFO!$A$2:$B$21, 2, FALSE), "")</f>
        <v/>
      </c>
    </row>
    <row r="404" spans="1:5" ht="16.5" x14ac:dyDescent="0.25">
      <c r="A404" s="35"/>
      <c r="B404" s="35"/>
      <c r="C404" s="35"/>
      <c r="D404" s="35"/>
      <c r="E404" s="151" t="str">
        <f>IF(A404&lt;&gt;"", VLOOKUP(A404, MEMBERS_INFO!$A$2:$B$21, 2, FALSE), "")</f>
        <v/>
      </c>
    </row>
    <row r="405" spans="1:5" ht="16.5" x14ac:dyDescent="0.25">
      <c r="A405" s="35"/>
      <c r="B405" s="35"/>
      <c r="C405" s="35"/>
      <c r="D405" s="35"/>
      <c r="E405" s="151" t="str">
        <f>IF(A405&lt;&gt;"", VLOOKUP(A405, MEMBERS_INFO!$A$2:$B$21, 2, FALSE), "")</f>
        <v/>
      </c>
    </row>
    <row r="406" spans="1:5" ht="16.5" x14ac:dyDescent="0.25">
      <c r="A406" s="35"/>
      <c r="B406" s="35"/>
      <c r="C406" s="35"/>
      <c r="D406" s="35"/>
      <c r="E406" s="151" t="str">
        <f>IF(A406&lt;&gt;"", VLOOKUP(A406, MEMBERS_INFO!$A$2:$B$21, 2, FALSE), "")</f>
        <v/>
      </c>
    </row>
    <row r="407" spans="1:5" ht="16.5" x14ac:dyDescent="0.25">
      <c r="A407" s="35"/>
      <c r="B407" s="35"/>
      <c r="C407" s="35"/>
      <c r="D407" s="35"/>
      <c r="E407" s="151" t="str">
        <f>IF(A407&lt;&gt;"", VLOOKUP(A407, MEMBERS_INFO!$A$2:$B$21, 2, FALSE), "")</f>
        <v/>
      </c>
    </row>
    <row r="408" spans="1:5" ht="16.5" x14ac:dyDescent="0.25">
      <c r="A408" s="35"/>
      <c r="B408" s="35"/>
      <c r="C408" s="35"/>
      <c r="D408" s="35"/>
      <c r="E408" s="151" t="str">
        <f>IF(A408&lt;&gt;"", VLOOKUP(A408, MEMBERS_INFO!$A$2:$B$21, 2, FALSE), "")</f>
        <v/>
      </c>
    </row>
    <row r="409" spans="1:5" ht="16.5" x14ac:dyDescent="0.25">
      <c r="A409" s="35"/>
      <c r="B409" s="35"/>
      <c r="C409" s="35"/>
      <c r="D409" s="35"/>
      <c r="E409" s="151" t="str">
        <f>IF(A409&lt;&gt;"", VLOOKUP(A409, MEMBERS_INFO!$A$2:$B$21, 2, FALSE), "")</f>
        <v/>
      </c>
    </row>
    <row r="410" spans="1:5" ht="16.5" x14ac:dyDescent="0.25">
      <c r="A410" s="35"/>
      <c r="B410" s="35"/>
      <c r="C410" s="35"/>
      <c r="D410" s="35"/>
      <c r="E410" s="151" t="str">
        <f>IF(A410&lt;&gt;"", VLOOKUP(A410, MEMBERS_INFO!$A$2:$B$21, 2, FALSE), "")</f>
        <v/>
      </c>
    </row>
    <row r="411" spans="1:5" ht="16.5" x14ac:dyDescent="0.25">
      <c r="A411" s="35"/>
      <c r="B411" s="35"/>
      <c r="C411" s="35"/>
      <c r="D411" s="35"/>
      <c r="E411" s="151" t="str">
        <f>IF(A411&lt;&gt;"", VLOOKUP(A411, MEMBERS_INFO!$A$2:$B$21, 2, FALSE), "")</f>
        <v/>
      </c>
    </row>
    <row r="412" spans="1:5" ht="16.5" x14ac:dyDescent="0.25">
      <c r="A412" s="35"/>
      <c r="B412" s="35"/>
      <c r="C412" s="35"/>
      <c r="D412" s="35"/>
      <c r="E412" s="151" t="str">
        <f>IF(A412&lt;&gt;"", VLOOKUP(A412, MEMBERS_INFO!$A$2:$B$21, 2, FALSE), "")</f>
        <v/>
      </c>
    </row>
    <row r="413" spans="1:5" ht="16.5" x14ac:dyDescent="0.25">
      <c r="A413" s="35"/>
      <c r="B413" s="35"/>
      <c r="C413" s="35"/>
      <c r="D413" s="35"/>
      <c r="E413" s="151" t="str">
        <f>IF(A413&lt;&gt;"", VLOOKUP(A413, MEMBERS_INFO!$A$2:$B$21, 2, FALSE), "")</f>
        <v/>
      </c>
    </row>
    <row r="414" spans="1:5" ht="16.5" x14ac:dyDescent="0.25">
      <c r="A414" s="35"/>
      <c r="B414" s="35"/>
      <c r="C414" s="35"/>
      <c r="D414" s="35"/>
      <c r="E414" s="151" t="str">
        <f>IF(A414&lt;&gt;"", VLOOKUP(A414, MEMBERS_INFO!$A$2:$B$21, 2, FALSE), "")</f>
        <v/>
      </c>
    </row>
    <row r="415" spans="1:5" ht="16.5" x14ac:dyDescent="0.25">
      <c r="A415" s="35"/>
      <c r="B415" s="35"/>
      <c r="C415" s="35"/>
      <c r="D415" s="35"/>
      <c r="E415" s="151" t="str">
        <f>IF(A415&lt;&gt;"", VLOOKUP(A415, MEMBERS_INFO!$A$2:$B$21, 2, FALSE), "")</f>
        <v/>
      </c>
    </row>
    <row r="416" spans="1:5" ht="16.5" x14ac:dyDescent="0.25">
      <c r="A416" s="35"/>
      <c r="B416" s="35"/>
      <c r="C416" s="35"/>
      <c r="D416" s="35"/>
      <c r="E416" s="151" t="str">
        <f>IF(A416&lt;&gt;"", VLOOKUP(A416, MEMBERS_INFO!$A$2:$B$21, 2, FALSE), "")</f>
        <v/>
      </c>
    </row>
    <row r="417" spans="1:5" ht="16.5" x14ac:dyDescent="0.25">
      <c r="A417" s="35"/>
      <c r="B417" s="35"/>
      <c r="C417" s="35"/>
      <c r="D417" s="35"/>
      <c r="E417" s="151" t="str">
        <f>IF(A417&lt;&gt;"", VLOOKUP(A417, MEMBERS_INFO!$A$2:$B$21, 2, FALSE), "")</f>
        <v/>
      </c>
    </row>
    <row r="418" spans="1:5" ht="16.5" x14ac:dyDescent="0.25">
      <c r="A418" s="35"/>
      <c r="B418" s="35"/>
      <c r="C418" s="35"/>
      <c r="D418" s="35"/>
      <c r="E418" s="151" t="str">
        <f>IF(A418&lt;&gt;"", VLOOKUP(A418, MEMBERS_INFO!$A$2:$B$21, 2, FALSE), "")</f>
        <v/>
      </c>
    </row>
    <row r="419" spans="1:5" ht="16.5" x14ac:dyDescent="0.25">
      <c r="A419" s="35"/>
      <c r="B419" s="35"/>
      <c r="C419" s="35"/>
      <c r="D419" s="35"/>
      <c r="E419" s="151" t="str">
        <f>IF(A419&lt;&gt;"", VLOOKUP(A419, MEMBERS_INFO!$A$2:$B$21, 2, FALSE), "")</f>
        <v/>
      </c>
    </row>
    <row r="420" spans="1:5" ht="16.5" x14ac:dyDescent="0.25">
      <c r="A420" s="35"/>
      <c r="B420" s="35"/>
      <c r="C420" s="35"/>
      <c r="D420" s="35"/>
      <c r="E420" s="151" t="str">
        <f>IF(A420&lt;&gt;"", VLOOKUP(A420, MEMBERS_INFO!$A$2:$B$21, 2, FALSE), "")</f>
        <v/>
      </c>
    </row>
    <row r="421" spans="1:5" ht="16.5" x14ac:dyDescent="0.25">
      <c r="A421" s="35"/>
      <c r="B421" s="35"/>
      <c r="C421" s="35"/>
      <c r="D421" s="35"/>
      <c r="E421" s="151" t="str">
        <f>IF(A421&lt;&gt;"", VLOOKUP(A421, MEMBERS_INFO!$A$2:$B$21, 2, FALSE), "")</f>
        <v/>
      </c>
    </row>
    <row r="422" spans="1:5" ht="16.5" x14ac:dyDescent="0.25">
      <c r="A422" s="35"/>
      <c r="B422" s="35"/>
      <c r="C422" s="35"/>
      <c r="D422" s="35"/>
      <c r="E422" s="151" t="str">
        <f>IF(A422&lt;&gt;"", VLOOKUP(A422, MEMBERS_INFO!$A$2:$B$21, 2, FALSE), "")</f>
        <v/>
      </c>
    </row>
    <row r="423" spans="1:5" ht="16.5" x14ac:dyDescent="0.25">
      <c r="A423" s="35"/>
      <c r="B423" s="35"/>
      <c r="C423" s="35"/>
      <c r="D423" s="35"/>
      <c r="E423" s="151" t="str">
        <f>IF(A423&lt;&gt;"", VLOOKUP(A423, MEMBERS_INFO!$A$2:$B$21, 2, FALSE), "")</f>
        <v/>
      </c>
    </row>
    <row r="424" spans="1:5" ht="16.5" x14ac:dyDescent="0.25">
      <c r="A424" s="35"/>
      <c r="B424" s="35"/>
      <c r="C424" s="35"/>
      <c r="D424" s="35"/>
      <c r="E424" s="151" t="str">
        <f>IF(A424&lt;&gt;"", VLOOKUP(A424, MEMBERS_INFO!$A$2:$B$21, 2, FALSE), "")</f>
        <v/>
      </c>
    </row>
    <row r="425" spans="1:5" ht="16.5" x14ac:dyDescent="0.25">
      <c r="A425" s="35"/>
      <c r="B425" s="35"/>
      <c r="C425" s="35"/>
      <c r="D425" s="35"/>
      <c r="E425" s="151" t="str">
        <f>IF(A425&lt;&gt;"", VLOOKUP(A425, MEMBERS_INFO!$A$2:$B$21, 2, FALSE), "")</f>
        <v/>
      </c>
    </row>
    <row r="426" spans="1:5" ht="16.5" x14ac:dyDescent="0.25">
      <c r="A426" s="35"/>
      <c r="B426" s="35"/>
      <c r="C426" s="35"/>
      <c r="D426" s="35"/>
      <c r="E426" s="151" t="str">
        <f>IF(A426&lt;&gt;"", VLOOKUP(A426, MEMBERS_INFO!$A$2:$B$21, 2, FALSE), "")</f>
        <v/>
      </c>
    </row>
    <row r="427" spans="1:5" ht="16.5" x14ac:dyDescent="0.25">
      <c r="A427" s="35"/>
      <c r="B427" s="35"/>
      <c r="C427" s="35"/>
      <c r="D427" s="35"/>
      <c r="E427" s="151" t="str">
        <f>IF(A427&lt;&gt;"", VLOOKUP(A427, MEMBERS_INFO!$A$2:$B$21, 2, FALSE), "")</f>
        <v/>
      </c>
    </row>
    <row r="428" spans="1:5" ht="16.5" x14ac:dyDescent="0.25">
      <c r="A428" s="35"/>
      <c r="B428" s="35"/>
      <c r="C428" s="35"/>
      <c r="D428" s="35"/>
      <c r="E428" s="151" t="str">
        <f>IF(A428&lt;&gt;"", VLOOKUP(A428, MEMBERS_INFO!$A$2:$B$21, 2, FALSE), "")</f>
        <v/>
      </c>
    </row>
    <row r="429" spans="1:5" ht="16.5" x14ac:dyDescent="0.25">
      <c r="A429" s="35"/>
      <c r="B429" s="35"/>
      <c r="C429" s="35"/>
      <c r="D429" s="35"/>
      <c r="E429" s="151" t="str">
        <f>IF(A429&lt;&gt;"", VLOOKUP(A429, MEMBERS_INFO!$A$2:$B$21, 2, FALSE), "")</f>
        <v/>
      </c>
    </row>
    <row r="430" spans="1:5" ht="16.5" x14ac:dyDescent="0.25">
      <c r="A430" s="35"/>
      <c r="B430" s="35"/>
      <c r="C430" s="35"/>
      <c r="D430" s="35"/>
      <c r="E430" s="151" t="str">
        <f>IF(A430&lt;&gt;"", VLOOKUP(A430, MEMBERS_INFO!$A$2:$B$21, 2, FALSE), "")</f>
        <v/>
      </c>
    </row>
    <row r="431" spans="1:5" ht="16.5" x14ac:dyDescent="0.25">
      <c r="A431" s="35"/>
      <c r="B431" s="35"/>
      <c r="C431" s="35"/>
      <c r="D431" s="35"/>
      <c r="E431" s="151" t="str">
        <f>IF(A431&lt;&gt;"", VLOOKUP(A431, MEMBERS_INFO!$A$2:$B$21, 2, FALSE), "")</f>
        <v/>
      </c>
    </row>
    <row r="432" spans="1:5" ht="16.5" x14ac:dyDescent="0.25">
      <c r="A432" s="35"/>
      <c r="B432" s="35"/>
      <c r="C432" s="35"/>
      <c r="D432" s="35"/>
      <c r="E432" s="151" t="str">
        <f>IF(A432&lt;&gt;"", VLOOKUP(A432, MEMBERS_INFO!$A$2:$B$21, 2, FALSE), "")</f>
        <v/>
      </c>
    </row>
    <row r="433" spans="1:5" ht="16.5" x14ac:dyDescent="0.25">
      <c r="A433" s="35"/>
      <c r="B433" s="35"/>
      <c r="C433" s="35"/>
      <c r="D433" s="35"/>
      <c r="E433" s="151" t="str">
        <f>IF(A433&lt;&gt;"", VLOOKUP(A433, MEMBERS_INFO!$A$2:$B$21, 2, FALSE), "")</f>
        <v/>
      </c>
    </row>
    <row r="434" spans="1:5" ht="16.5" x14ac:dyDescent="0.25">
      <c r="A434" s="35"/>
      <c r="B434" s="35"/>
      <c r="C434" s="35"/>
      <c r="D434" s="35"/>
      <c r="E434" s="151" t="str">
        <f>IF(A434&lt;&gt;"", VLOOKUP(A434, MEMBERS_INFO!$A$2:$B$21, 2, FALSE), "")</f>
        <v/>
      </c>
    </row>
    <row r="435" spans="1:5" ht="16.5" x14ac:dyDescent="0.25">
      <c r="A435" s="35"/>
      <c r="B435" s="35"/>
      <c r="C435" s="35"/>
      <c r="D435" s="35"/>
      <c r="E435" s="151" t="str">
        <f>IF(A435&lt;&gt;"", VLOOKUP(A435, MEMBERS_INFO!$A$2:$B$21, 2, FALSE), "")</f>
        <v/>
      </c>
    </row>
    <row r="436" spans="1:5" ht="16.5" x14ac:dyDescent="0.25">
      <c r="A436" s="35"/>
      <c r="B436" s="35"/>
      <c r="C436" s="35"/>
      <c r="D436" s="35"/>
      <c r="E436" s="151" t="str">
        <f>IF(A436&lt;&gt;"", VLOOKUP(A436, MEMBERS_INFO!$A$2:$B$21, 2, FALSE), "")</f>
        <v/>
      </c>
    </row>
    <row r="437" spans="1:5" ht="16.5" x14ac:dyDescent="0.25">
      <c r="A437" s="35"/>
      <c r="B437" s="35"/>
      <c r="C437" s="35"/>
      <c r="D437" s="35"/>
      <c r="E437" s="151" t="str">
        <f>IF(A437&lt;&gt;"", VLOOKUP(A437, MEMBERS_INFO!$A$2:$B$21, 2, FALSE), "")</f>
        <v/>
      </c>
    </row>
    <row r="438" spans="1:5" ht="16.5" x14ac:dyDescent="0.25">
      <c r="A438" s="35"/>
      <c r="B438" s="35"/>
      <c r="C438" s="35"/>
      <c r="D438" s="35"/>
      <c r="E438" s="151" t="str">
        <f>IF(A438&lt;&gt;"", VLOOKUP(A438, MEMBERS_INFO!$A$2:$B$21, 2, FALSE), "")</f>
        <v/>
      </c>
    </row>
    <row r="439" spans="1:5" ht="16.5" x14ac:dyDescent="0.25">
      <c r="A439" s="35"/>
      <c r="B439" s="35"/>
      <c r="C439" s="35"/>
      <c r="D439" s="35"/>
      <c r="E439" s="151" t="str">
        <f>IF(A439&lt;&gt;"", VLOOKUP(A439, MEMBERS_INFO!$A$2:$B$21, 2, FALSE), "")</f>
        <v/>
      </c>
    </row>
    <row r="440" spans="1:5" ht="16.5" x14ac:dyDescent="0.25">
      <c r="A440" s="35"/>
      <c r="B440" s="35"/>
      <c r="C440" s="35"/>
      <c r="D440" s="35"/>
      <c r="E440" s="151" t="str">
        <f>IF(A440&lt;&gt;"", VLOOKUP(A440, MEMBERS_INFO!$A$2:$B$21, 2, FALSE), "")</f>
        <v/>
      </c>
    </row>
    <row r="441" spans="1:5" ht="16.5" x14ac:dyDescent="0.25">
      <c r="A441" s="35"/>
      <c r="B441" s="35"/>
      <c r="C441" s="35"/>
      <c r="D441" s="35"/>
      <c r="E441" s="151" t="str">
        <f>IF(A441&lt;&gt;"", VLOOKUP(A441, MEMBERS_INFO!$A$2:$B$21, 2, FALSE), "")</f>
        <v/>
      </c>
    </row>
    <row r="442" spans="1:5" ht="16.5" x14ac:dyDescent="0.25">
      <c r="A442" s="35"/>
      <c r="B442" s="35"/>
      <c r="C442" s="35"/>
      <c r="D442" s="35"/>
      <c r="E442" s="151" t="str">
        <f>IF(A442&lt;&gt;"", VLOOKUP(A442, MEMBERS_INFO!$A$2:$B$21, 2, FALSE), "")</f>
        <v/>
      </c>
    </row>
    <row r="443" spans="1:5" ht="16.5" x14ac:dyDescent="0.25">
      <c r="A443" s="35"/>
      <c r="B443" s="35"/>
      <c r="C443" s="35"/>
      <c r="D443" s="35"/>
      <c r="E443" s="151" t="str">
        <f>IF(A443&lt;&gt;"", VLOOKUP(A443, MEMBERS_INFO!$A$2:$B$21, 2, FALSE), "")</f>
        <v/>
      </c>
    </row>
    <row r="444" spans="1:5" ht="16.5" x14ac:dyDescent="0.25">
      <c r="A444" s="35"/>
      <c r="B444" s="35"/>
      <c r="C444" s="35"/>
      <c r="D444" s="35"/>
      <c r="E444" s="151" t="str">
        <f>IF(A444&lt;&gt;"", VLOOKUP(A444, MEMBERS_INFO!$A$2:$B$21, 2, FALSE), "")</f>
        <v/>
      </c>
    </row>
    <row r="445" spans="1:5" ht="16.5" x14ac:dyDescent="0.25">
      <c r="A445" s="35"/>
      <c r="B445" s="35"/>
      <c r="C445" s="35"/>
      <c r="D445" s="35"/>
      <c r="E445" s="151" t="str">
        <f>IF(A445&lt;&gt;"", VLOOKUP(A445, MEMBERS_INFO!$A$2:$B$21, 2, FALSE), "")</f>
        <v/>
      </c>
    </row>
    <row r="446" spans="1:5" ht="16.5" x14ac:dyDescent="0.25">
      <c r="A446" s="35"/>
      <c r="B446" s="35"/>
      <c r="C446" s="35"/>
      <c r="D446" s="35"/>
      <c r="E446" s="151" t="str">
        <f>IF(A446&lt;&gt;"", VLOOKUP(A446, MEMBERS_INFO!$A$2:$B$21, 2, FALSE), "")</f>
        <v/>
      </c>
    </row>
    <row r="447" spans="1:5" ht="16.5" x14ac:dyDescent="0.25">
      <c r="A447" s="35"/>
      <c r="B447" s="35"/>
      <c r="C447" s="35"/>
      <c r="D447" s="35"/>
      <c r="E447" s="151" t="str">
        <f>IF(A447&lt;&gt;"", VLOOKUP(A447, MEMBERS_INFO!$A$2:$B$21, 2, FALSE), "")</f>
        <v/>
      </c>
    </row>
    <row r="448" spans="1:5" ht="16.5" x14ac:dyDescent="0.25">
      <c r="A448" s="35"/>
      <c r="B448" s="35"/>
      <c r="C448" s="35"/>
      <c r="D448" s="35"/>
      <c r="E448" s="151" t="str">
        <f>IF(A448&lt;&gt;"", VLOOKUP(A448, MEMBERS_INFO!$A$2:$B$21, 2, FALSE), "")</f>
        <v/>
      </c>
    </row>
    <row r="449" spans="1:5" ht="16.5" x14ac:dyDescent="0.25">
      <c r="A449" s="35"/>
      <c r="B449" s="35"/>
      <c r="C449" s="35"/>
      <c r="D449" s="35"/>
      <c r="E449" s="151" t="str">
        <f>IF(A449&lt;&gt;"", VLOOKUP(A449, MEMBERS_INFO!$A$2:$B$21, 2, FALSE), "")</f>
        <v/>
      </c>
    </row>
    <row r="450" spans="1:5" ht="16.5" x14ac:dyDescent="0.25">
      <c r="A450" s="35"/>
      <c r="B450" s="35"/>
      <c r="C450" s="35"/>
      <c r="D450" s="35"/>
      <c r="E450" s="151" t="str">
        <f>IF(A450&lt;&gt;"", VLOOKUP(A450, MEMBERS_INFO!$A$2:$B$21, 2, FALSE), "")</f>
        <v/>
      </c>
    </row>
    <row r="451" spans="1:5" ht="16.5" x14ac:dyDescent="0.25">
      <c r="A451" s="35"/>
      <c r="B451" s="35"/>
      <c r="C451" s="35"/>
      <c r="D451" s="35"/>
      <c r="E451" s="151" t="str">
        <f>IF(A451&lt;&gt;"", VLOOKUP(A451, MEMBERS_INFO!$A$2:$B$21, 2, FALSE), "")</f>
        <v/>
      </c>
    </row>
    <row r="452" spans="1:5" ht="16.5" x14ac:dyDescent="0.25">
      <c r="A452" s="35"/>
      <c r="B452" s="35"/>
      <c r="C452" s="35"/>
      <c r="D452" s="35"/>
      <c r="E452" s="151" t="str">
        <f>IF(A452&lt;&gt;"", VLOOKUP(A452, MEMBERS_INFO!$A$2:$B$21, 2, FALSE), "")</f>
        <v/>
      </c>
    </row>
    <row r="453" spans="1:5" ht="16.5" x14ac:dyDescent="0.25">
      <c r="A453" s="35"/>
      <c r="B453" s="35"/>
      <c r="C453" s="35"/>
      <c r="D453" s="35"/>
      <c r="E453" s="151" t="str">
        <f>IF(A453&lt;&gt;"", VLOOKUP(A453, MEMBERS_INFO!$A$2:$B$21, 2, FALSE), "")</f>
        <v/>
      </c>
    </row>
    <row r="454" spans="1:5" ht="16.5" x14ac:dyDescent="0.25">
      <c r="A454" s="35"/>
      <c r="B454" s="35"/>
      <c r="C454" s="35"/>
      <c r="D454" s="35"/>
      <c r="E454" s="151" t="str">
        <f>IF(A454&lt;&gt;"", VLOOKUP(A454, MEMBERS_INFO!$A$2:$B$21, 2, FALSE), "")</f>
        <v/>
      </c>
    </row>
  </sheetData>
  <autoFilter ref="A1:E454" xr:uid="{4ABFAD59-F996-4042-9E2D-36CA53BCB538}">
    <sortState xmlns:xlrd2="http://schemas.microsoft.com/office/spreadsheetml/2017/richdata2" ref="A2:E454">
      <sortCondition ref="B1:B454"/>
    </sortState>
  </autoFilter>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68906-CAA9-46B2-B243-D2DB40DCD199}">
  <sheetPr codeName="Sheet15"/>
  <dimension ref="A1:O51"/>
  <sheetViews>
    <sheetView workbookViewId="0">
      <selection activeCell="L23" sqref="L23"/>
    </sheetView>
  </sheetViews>
  <sheetFormatPr defaultRowHeight="15" x14ac:dyDescent="0.25"/>
  <cols>
    <col min="1" max="1" width="9.140625" style="34"/>
    <col min="2" max="2" width="10.140625" style="34" customWidth="1"/>
    <col min="3" max="3" width="9.7109375" style="34" customWidth="1"/>
    <col min="4" max="4" width="10.7109375" style="34" customWidth="1"/>
    <col min="5" max="5" width="36.28515625" style="34" customWidth="1"/>
    <col min="6" max="6" width="2.7109375" style="34" customWidth="1"/>
    <col min="7" max="7" width="9.140625" style="34"/>
    <col min="8" max="8" width="18.140625" style="34" customWidth="1"/>
    <col min="9" max="9" width="21" style="34" customWidth="1"/>
    <col min="10" max="10" width="24.42578125" style="34" customWidth="1"/>
    <col min="11" max="11" width="22.28515625" style="34" customWidth="1"/>
    <col min="12" max="12" width="30.140625" style="34" customWidth="1"/>
    <col min="13" max="13" width="26" style="34" customWidth="1"/>
    <col min="14" max="14" width="22.85546875" style="34" customWidth="1"/>
    <col min="15" max="15" width="14.7109375" style="33" customWidth="1"/>
    <col min="16" max="16384" width="9.140625" style="34"/>
  </cols>
  <sheetData>
    <row r="1" spans="1:15" ht="24.75" customHeight="1" x14ac:dyDescent="0.25">
      <c r="A1" s="36" t="s">
        <v>38</v>
      </c>
      <c r="B1" s="36" t="s">
        <v>23</v>
      </c>
      <c r="C1" s="36" t="s">
        <v>25</v>
      </c>
      <c r="D1" s="36" t="s">
        <v>42</v>
      </c>
      <c r="E1" s="36" t="s">
        <v>44</v>
      </c>
      <c r="G1" s="216" t="s">
        <v>44</v>
      </c>
      <c r="H1" s="217"/>
      <c r="I1" s="165" t="s">
        <v>88</v>
      </c>
      <c r="J1" s="165" t="s">
        <v>7</v>
      </c>
      <c r="K1" s="165" t="s">
        <v>9</v>
      </c>
      <c r="L1" s="165" t="s">
        <v>12</v>
      </c>
      <c r="M1" s="165" t="s">
        <v>82</v>
      </c>
      <c r="N1" s="166" t="s">
        <v>86</v>
      </c>
      <c r="O1" s="168" t="s">
        <v>50</v>
      </c>
    </row>
    <row r="2" spans="1:15" ht="20.25" customHeight="1" x14ac:dyDescent="0.25">
      <c r="A2" s="158"/>
      <c r="B2" s="37"/>
      <c r="C2" s="158"/>
      <c r="D2" s="158"/>
      <c r="E2" s="157" t="str">
        <f>IF(A2&lt;&gt;"", VLOOKUP(A2, MEMBERS_INFO!$A$2:$B$21, 2, FALSE), "")</f>
        <v/>
      </c>
      <c r="G2" s="218" t="s">
        <v>89</v>
      </c>
      <c r="H2" s="219" t="s">
        <v>89</v>
      </c>
      <c r="I2" s="160">
        <v>25000</v>
      </c>
      <c r="J2" s="160">
        <v>30000</v>
      </c>
      <c r="K2" s="160">
        <v>25000</v>
      </c>
      <c r="L2" s="160">
        <v>50000</v>
      </c>
      <c r="M2" s="160">
        <v>10000</v>
      </c>
      <c r="N2" s="164">
        <v>10000</v>
      </c>
      <c r="O2" s="169">
        <f>SUM(I2:N2)</f>
        <v>150000</v>
      </c>
    </row>
    <row r="3" spans="1:15" ht="16.5" x14ac:dyDescent="0.25">
      <c r="A3" s="158"/>
      <c r="B3" s="37"/>
      <c r="C3" s="158"/>
      <c r="D3" s="158"/>
      <c r="E3" s="157" t="str">
        <f>IF(A3&lt;&gt;"", VLOOKUP(A3, MEMBERS_INFO!$A$2:$B$21, 2, FALSE), "")</f>
        <v/>
      </c>
      <c r="G3" s="161">
        <v>1</v>
      </c>
      <c r="H3" s="162">
        <v>45945</v>
      </c>
      <c r="I3" s="161"/>
      <c r="J3" s="161"/>
      <c r="K3" s="161"/>
      <c r="L3" s="161"/>
      <c r="M3" s="161">
        <v>2000</v>
      </c>
      <c r="N3" s="161">
        <v>2000</v>
      </c>
    </row>
    <row r="4" spans="1:15" ht="16.5" x14ac:dyDescent="0.25">
      <c r="A4" s="158"/>
      <c r="B4" s="37"/>
      <c r="C4" s="158"/>
      <c r="D4" s="158"/>
      <c r="E4" s="157" t="str">
        <f>IF(A4&lt;&gt;"", VLOOKUP(A4, MEMBERS_INFO!$A$2:$B$21, 2, FALSE), "")</f>
        <v/>
      </c>
      <c r="G4" s="33">
        <v>2</v>
      </c>
      <c r="H4" s="33"/>
      <c r="I4" s="33"/>
      <c r="J4" s="33"/>
      <c r="K4" s="33"/>
      <c r="L4" s="33"/>
      <c r="M4" s="33"/>
      <c r="N4" s="33"/>
    </row>
    <row r="5" spans="1:15" ht="16.5" x14ac:dyDescent="0.25">
      <c r="A5" s="158"/>
      <c r="B5" s="37"/>
      <c r="C5" s="158"/>
      <c r="D5" s="158"/>
      <c r="E5" s="157" t="str">
        <f>IF(A5&lt;&gt;"", VLOOKUP(A5, MEMBERS_INFO!$A$2:$B$21, 2, FALSE), "")</f>
        <v/>
      </c>
      <c r="G5" s="33">
        <v>3</v>
      </c>
      <c r="H5" s="33"/>
      <c r="I5" s="33"/>
      <c r="J5" s="33"/>
      <c r="K5" s="33"/>
      <c r="L5" s="33"/>
      <c r="M5" s="33"/>
      <c r="N5" s="33"/>
    </row>
    <row r="6" spans="1:15" ht="16.5" x14ac:dyDescent="0.25">
      <c r="A6" s="158"/>
      <c r="B6" s="37"/>
      <c r="C6" s="158"/>
      <c r="D6" s="158"/>
      <c r="E6" s="157" t="str">
        <f>IF(A6&lt;&gt;"", VLOOKUP(A6, MEMBERS_INFO!$A$2:$B$21, 2, FALSE), "")</f>
        <v/>
      </c>
      <c r="G6" s="33">
        <v>4</v>
      </c>
      <c r="H6" s="33"/>
      <c r="I6" s="33"/>
      <c r="J6" s="33"/>
      <c r="K6" s="33"/>
      <c r="L6" s="33"/>
      <c r="M6" s="33"/>
      <c r="N6" s="33"/>
    </row>
    <row r="7" spans="1:15" ht="16.5" x14ac:dyDescent="0.25">
      <c r="A7" s="158"/>
      <c r="B7" s="37"/>
      <c r="C7" s="158"/>
      <c r="D7" s="158"/>
      <c r="E7" s="157" t="str">
        <f>IF(A7&lt;&gt;"", VLOOKUP(A7, MEMBERS_INFO!$A$2:$B$21, 2, FALSE), "")</f>
        <v/>
      </c>
      <c r="G7" s="33">
        <v>5</v>
      </c>
      <c r="H7" s="33"/>
      <c r="I7" s="33"/>
      <c r="J7" s="33"/>
      <c r="K7" s="33"/>
      <c r="L7" s="33"/>
      <c r="M7" s="33"/>
      <c r="N7" s="33"/>
    </row>
    <row r="8" spans="1:15" ht="16.5" x14ac:dyDescent="0.25">
      <c r="A8" s="158"/>
      <c r="B8" s="37"/>
      <c r="C8" s="158"/>
      <c r="D8" s="158"/>
      <c r="E8" s="157" t="str">
        <f>IF(A8&lt;&gt;"", VLOOKUP(A8, MEMBERS_INFO!$A$2:$B$21, 2, FALSE), "")</f>
        <v/>
      </c>
      <c r="G8" s="33">
        <v>6</v>
      </c>
      <c r="H8" s="33"/>
      <c r="I8" s="33"/>
      <c r="J8" s="33"/>
      <c r="K8" s="33"/>
      <c r="L8" s="33"/>
      <c r="M8" s="33"/>
      <c r="N8" s="33"/>
    </row>
    <row r="9" spans="1:15" ht="16.5" x14ac:dyDescent="0.25">
      <c r="A9" s="158"/>
      <c r="B9" s="37"/>
      <c r="C9" s="158"/>
      <c r="D9" s="158"/>
      <c r="E9" s="157" t="str">
        <f>IF(A9&lt;&gt;"", VLOOKUP(A9, MEMBERS_INFO!$A$2:$B$21, 2, FALSE), "")</f>
        <v/>
      </c>
      <c r="G9" s="33">
        <v>7</v>
      </c>
      <c r="H9" s="33"/>
      <c r="I9" s="33"/>
      <c r="J9" s="33"/>
      <c r="K9" s="33"/>
      <c r="L9" s="33"/>
      <c r="M9" s="33"/>
      <c r="N9" s="33"/>
    </row>
    <row r="10" spans="1:15" ht="16.5" x14ac:dyDescent="0.25">
      <c r="A10" s="158"/>
      <c r="B10" s="37"/>
      <c r="C10" s="158"/>
      <c r="D10" s="158"/>
      <c r="E10" s="157" t="str">
        <f>IF(A10&lt;&gt;"", VLOOKUP(A10, MEMBERS_INFO!$A$2:$B$21, 2, FALSE), "")</f>
        <v/>
      </c>
      <c r="G10" s="33">
        <v>8</v>
      </c>
      <c r="H10" s="33"/>
      <c r="I10" s="33"/>
      <c r="J10" s="33"/>
      <c r="K10" s="33"/>
      <c r="L10" s="33"/>
      <c r="M10" s="33"/>
      <c r="N10" s="33"/>
    </row>
    <row r="11" spans="1:15" ht="16.5" x14ac:dyDescent="0.25">
      <c r="A11" s="158"/>
      <c r="B11" s="37"/>
      <c r="C11" s="158"/>
      <c r="D11" s="158"/>
      <c r="E11" s="157" t="str">
        <f>IF(A11&lt;&gt;"", VLOOKUP(A11, MEMBERS_INFO!$A$2:$B$21, 2, FALSE), "")</f>
        <v/>
      </c>
      <c r="G11" s="33">
        <v>9</v>
      </c>
      <c r="H11" s="33"/>
      <c r="I11" s="33"/>
      <c r="J11" s="33"/>
      <c r="K11" s="33"/>
      <c r="L11" s="33"/>
      <c r="M11" s="33"/>
      <c r="N11" s="33"/>
    </row>
    <row r="12" spans="1:15" ht="16.5" x14ac:dyDescent="0.25">
      <c r="A12" s="158"/>
      <c r="B12" s="37"/>
      <c r="C12" s="158"/>
      <c r="D12" s="158"/>
      <c r="E12" s="157" t="str">
        <f>IF(A12&lt;&gt;"", VLOOKUP(A12, MEMBERS_INFO!$A$2:$B$21, 2, FALSE), "")</f>
        <v/>
      </c>
      <c r="G12" s="163">
        <v>10</v>
      </c>
      <c r="H12" s="163"/>
      <c r="I12" s="163"/>
      <c r="J12" s="163"/>
      <c r="K12" s="163"/>
      <c r="L12" s="163"/>
      <c r="M12" s="163"/>
      <c r="N12" s="163"/>
    </row>
    <row r="13" spans="1:15" ht="16.5" x14ac:dyDescent="0.25">
      <c r="A13" s="158"/>
      <c r="B13" s="37"/>
      <c r="C13" s="158"/>
      <c r="D13" s="158"/>
      <c r="E13" s="157" t="str">
        <f>IF(A13&lt;&gt;"", VLOOKUP(A13, MEMBERS_INFO!$A$2:$B$21, 2, FALSE), "")</f>
        <v/>
      </c>
      <c r="G13" s="220" t="s">
        <v>90</v>
      </c>
      <c r="H13" s="220"/>
      <c r="I13" s="159">
        <f t="shared" ref="I13:L13" si="0">I2 - SUM(I3:I12)</f>
        <v>25000</v>
      </c>
      <c r="J13" s="159">
        <f t="shared" si="0"/>
        <v>30000</v>
      </c>
      <c r="K13" s="159">
        <f t="shared" si="0"/>
        <v>25000</v>
      </c>
      <c r="L13" s="159">
        <f t="shared" si="0"/>
        <v>50000</v>
      </c>
      <c r="M13" s="159">
        <f>M2 - SUM(M3:M12)</f>
        <v>8000</v>
      </c>
      <c r="N13" s="159">
        <f>N2 - SUM(N3:N12)</f>
        <v>8000</v>
      </c>
      <c r="O13" s="167">
        <f>SUM(I13:N13)</f>
        <v>146000</v>
      </c>
    </row>
    <row r="14" spans="1:15" ht="16.5" x14ac:dyDescent="0.25">
      <c r="A14" s="158"/>
      <c r="B14" s="37"/>
      <c r="C14" s="158"/>
      <c r="D14" s="158"/>
      <c r="E14" s="157" t="str">
        <f>IF(A14&lt;&gt;"", VLOOKUP(A14, MEMBERS_INFO!$A$2:$B$21, 2, FALSE), "")</f>
        <v/>
      </c>
    </row>
    <row r="15" spans="1:15" ht="16.5" x14ac:dyDescent="0.25">
      <c r="A15" s="158"/>
      <c r="B15" s="37"/>
      <c r="C15" s="158"/>
      <c r="D15" s="158"/>
      <c r="E15" s="157" t="str">
        <f>IF(A15&lt;&gt;"", VLOOKUP(A15, MEMBERS_INFO!$A$2:$B$21, 2, FALSE), "")</f>
        <v/>
      </c>
    </row>
    <row r="16" spans="1:15" ht="16.5" x14ac:dyDescent="0.25">
      <c r="A16" s="158"/>
      <c r="B16" s="37"/>
      <c r="C16" s="158"/>
      <c r="D16" s="158"/>
      <c r="E16" s="157" t="str">
        <f>IF(A16&lt;&gt;"", VLOOKUP(A16, MEMBERS_INFO!$A$2:$B$21, 2, FALSE), "")</f>
        <v/>
      </c>
    </row>
    <row r="17" spans="1:5" ht="16.5" x14ac:dyDescent="0.25">
      <c r="A17" s="158"/>
      <c r="B17" s="37"/>
      <c r="C17" s="158"/>
      <c r="D17" s="158"/>
      <c r="E17" s="157" t="str">
        <f>IF(A17&lt;&gt;"", VLOOKUP(A17, MEMBERS_INFO!$A$2:$B$21, 2, FALSE), "")</f>
        <v/>
      </c>
    </row>
    <row r="18" spans="1:5" ht="16.5" x14ac:dyDescent="0.25">
      <c r="A18" s="158"/>
      <c r="B18" s="37"/>
      <c r="C18" s="158"/>
      <c r="D18" s="158"/>
      <c r="E18" s="157" t="str">
        <f>IF(A18&lt;&gt;"", VLOOKUP(A18, MEMBERS_INFO!$A$2:$B$21, 2, FALSE), "")</f>
        <v/>
      </c>
    </row>
    <row r="19" spans="1:5" ht="16.5" x14ac:dyDescent="0.25">
      <c r="A19" s="158"/>
      <c r="B19" s="37"/>
      <c r="C19" s="158"/>
      <c r="D19" s="158"/>
      <c r="E19" s="157" t="str">
        <f>IF(A19&lt;&gt;"", VLOOKUP(A19, MEMBERS_INFO!$A$2:$B$21, 2, FALSE), "")</f>
        <v/>
      </c>
    </row>
    <row r="20" spans="1:5" ht="16.5" x14ac:dyDescent="0.25">
      <c r="A20" s="158"/>
      <c r="B20" s="37"/>
      <c r="C20" s="158"/>
      <c r="D20" s="158"/>
      <c r="E20" s="157" t="str">
        <f>IF(A20&lt;&gt;"", VLOOKUP(A20, MEMBERS_INFO!$A$2:$B$21, 2, FALSE), "")</f>
        <v/>
      </c>
    </row>
    <row r="21" spans="1:5" ht="16.5" x14ac:dyDescent="0.25">
      <c r="A21" s="158"/>
      <c r="B21" s="37"/>
      <c r="C21" s="158"/>
      <c r="D21" s="158"/>
      <c r="E21" s="157" t="str">
        <f>IF(A21&lt;&gt;"", VLOOKUP(A21, MEMBERS_INFO!$A$2:$B$21, 2, FALSE), "")</f>
        <v/>
      </c>
    </row>
    <row r="22" spans="1:5" ht="16.5" x14ac:dyDescent="0.25">
      <c r="A22" s="158"/>
      <c r="B22" s="37"/>
      <c r="C22" s="158"/>
      <c r="D22" s="158"/>
      <c r="E22" s="157" t="str">
        <f>IF(A22&lt;&gt;"", VLOOKUP(A22, MEMBERS_INFO!$A$2:$B$21, 2, FALSE), "")</f>
        <v/>
      </c>
    </row>
    <row r="23" spans="1:5" ht="16.5" x14ac:dyDescent="0.25">
      <c r="A23" s="158"/>
      <c r="B23" s="37"/>
      <c r="C23" s="158"/>
      <c r="D23" s="158"/>
      <c r="E23" s="157" t="str">
        <f>IF(A23&lt;&gt;"", VLOOKUP(A23, MEMBERS_INFO!$A$2:$B$21, 2, FALSE), "")</f>
        <v/>
      </c>
    </row>
    <row r="24" spans="1:5" ht="16.5" x14ac:dyDescent="0.25">
      <c r="A24" s="158"/>
      <c r="B24" s="37"/>
      <c r="C24" s="158"/>
      <c r="D24" s="158"/>
      <c r="E24" s="157" t="str">
        <f>IF(A24&lt;&gt;"", VLOOKUP(A24, MEMBERS_INFO!$A$2:$B$21, 2, FALSE), "")</f>
        <v/>
      </c>
    </row>
    <row r="25" spans="1:5" ht="16.5" x14ac:dyDescent="0.25">
      <c r="A25" s="158"/>
      <c r="B25" s="37"/>
      <c r="C25" s="158"/>
      <c r="D25" s="158"/>
      <c r="E25" s="157" t="str">
        <f>IF(A25&lt;&gt;"", VLOOKUP(A25, MEMBERS_INFO!$A$2:$B$21, 2, FALSE), "")</f>
        <v/>
      </c>
    </row>
    <row r="26" spans="1:5" ht="16.5" x14ac:dyDescent="0.25">
      <c r="A26" s="158"/>
      <c r="B26" s="37"/>
      <c r="C26" s="158"/>
      <c r="D26" s="158"/>
      <c r="E26" s="157" t="str">
        <f>IF(A26&lt;&gt;"", VLOOKUP(A26, MEMBERS_INFO!$A$2:$B$21, 2, FALSE), "")</f>
        <v/>
      </c>
    </row>
    <row r="27" spans="1:5" ht="16.5" x14ac:dyDescent="0.25">
      <c r="A27" s="158"/>
      <c r="B27" s="37"/>
      <c r="C27" s="158"/>
      <c r="D27" s="158"/>
      <c r="E27" s="157" t="str">
        <f>IF(A27&lt;&gt;"", VLOOKUP(A27, MEMBERS_INFO!$A$2:$B$21, 2, FALSE), "")</f>
        <v/>
      </c>
    </row>
    <row r="28" spans="1:5" ht="16.5" x14ac:dyDescent="0.25">
      <c r="A28" s="158"/>
      <c r="B28" s="37"/>
      <c r="C28" s="158"/>
      <c r="D28" s="158"/>
      <c r="E28" s="157" t="str">
        <f>IF(A28&lt;&gt;"", VLOOKUP(A28, MEMBERS_INFO!$A$2:$B$21, 2, FALSE), "")</f>
        <v/>
      </c>
    </row>
    <row r="29" spans="1:5" ht="16.5" x14ac:dyDescent="0.25">
      <c r="A29" s="158"/>
      <c r="B29" s="37"/>
      <c r="C29" s="158"/>
      <c r="D29" s="158"/>
      <c r="E29" s="157" t="str">
        <f>IF(A29&lt;&gt;"", VLOOKUP(A29, MEMBERS_INFO!$A$2:$B$21, 2, FALSE), "")</f>
        <v/>
      </c>
    </row>
    <row r="30" spans="1:5" ht="16.5" x14ac:dyDescent="0.25">
      <c r="A30" s="158"/>
      <c r="B30" s="37"/>
      <c r="C30" s="158"/>
      <c r="D30" s="158"/>
      <c r="E30" s="157" t="str">
        <f>IF(A30&lt;&gt;"", VLOOKUP(A30, MEMBERS_INFO!$A$2:$B$21, 2, FALSE), "")</f>
        <v/>
      </c>
    </row>
    <row r="31" spans="1:5" ht="16.5" x14ac:dyDescent="0.25">
      <c r="A31" s="158"/>
      <c r="B31" s="37"/>
      <c r="C31" s="158"/>
      <c r="D31" s="158"/>
      <c r="E31" s="157" t="str">
        <f>IF(A31&lt;&gt;"", VLOOKUP(A31, MEMBERS_INFO!$A$2:$B$21, 2, FALSE), "")</f>
        <v/>
      </c>
    </row>
    <row r="32" spans="1:5" ht="16.5" x14ac:dyDescent="0.25">
      <c r="A32" s="158"/>
      <c r="B32" s="37"/>
      <c r="C32" s="158"/>
      <c r="D32" s="158"/>
      <c r="E32" s="157" t="str">
        <f>IF(A32&lt;&gt;"", VLOOKUP(A32, MEMBERS_INFO!$A$2:$B$21, 2, FALSE), "")</f>
        <v/>
      </c>
    </row>
    <row r="33" spans="1:5" ht="16.5" x14ac:dyDescent="0.25">
      <c r="A33" s="158"/>
      <c r="B33" s="37"/>
      <c r="C33" s="158"/>
      <c r="D33" s="158"/>
      <c r="E33" s="157" t="str">
        <f>IF(A33&lt;&gt;"", VLOOKUP(A33, MEMBERS_INFO!$A$2:$B$21, 2, FALSE), "")</f>
        <v/>
      </c>
    </row>
    <row r="34" spans="1:5" ht="16.5" x14ac:dyDescent="0.25">
      <c r="A34" s="158"/>
      <c r="B34" s="37"/>
      <c r="C34" s="158"/>
      <c r="D34" s="158"/>
      <c r="E34" s="157" t="str">
        <f>IF(A34&lt;&gt;"", VLOOKUP(A34, MEMBERS_INFO!$A$2:$B$21, 2, FALSE), "")</f>
        <v/>
      </c>
    </row>
    <row r="35" spans="1:5" ht="16.5" x14ac:dyDescent="0.25">
      <c r="A35" s="158"/>
      <c r="B35" s="37"/>
      <c r="C35" s="158"/>
      <c r="D35" s="158"/>
      <c r="E35" s="157" t="str">
        <f>IF(A35&lt;&gt;"", VLOOKUP(A35, MEMBERS_INFO!$A$2:$B$21, 2, FALSE), "")</f>
        <v/>
      </c>
    </row>
    <row r="36" spans="1:5" ht="16.5" x14ac:dyDescent="0.25">
      <c r="A36" s="158"/>
      <c r="B36" s="37"/>
      <c r="C36" s="158"/>
      <c r="D36" s="158"/>
      <c r="E36" s="157" t="str">
        <f>IF(A36&lt;&gt;"", VLOOKUP(A36, MEMBERS_INFO!$A$2:$B$21, 2, FALSE), "")</f>
        <v/>
      </c>
    </row>
    <row r="37" spans="1:5" ht="16.5" x14ac:dyDescent="0.25">
      <c r="A37" s="158"/>
      <c r="B37" s="37"/>
      <c r="C37" s="158"/>
      <c r="D37" s="158"/>
      <c r="E37" s="157" t="str">
        <f>IF(A37&lt;&gt;"", VLOOKUP(A37, MEMBERS_INFO!$A$2:$B$21, 2, FALSE), "")</f>
        <v/>
      </c>
    </row>
    <row r="38" spans="1:5" ht="16.5" x14ac:dyDescent="0.25">
      <c r="A38" s="158"/>
      <c r="B38" s="37"/>
      <c r="C38" s="158"/>
      <c r="D38" s="158"/>
      <c r="E38" s="157" t="str">
        <f>IF(A38&lt;&gt;"", VLOOKUP(A38, MEMBERS_INFO!$A$2:$B$21, 2, FALSE), "")</f>
        <v/>
      </c>
    </row>
    <row r="39" spans="1:5" ht="16.5" x14ac:dyDescent="0.25">
      <c r="A39" s="158"/>
      <c r="B39" s="37"/>
      <c r="C39" s="158"/>
      <c r="D39" s="158"/>
      <c r="E39" s="157" t="str">
        <f>IF(A39&lt;&gt;"", VLOOKUP(A39, MEMBERS_INFO!$A$2:$B$21, 2, FALSE), "")</f>
        <v/>
      </c>
    </row>
    <row r="40" spans="1:5" ht="16.5" x14ac:dyDescent="0.25">
      <c r="A40" s="158"/>
      <c r="B40" s="37"/>
      <c r="C40" s="158"/>
      <c r="D40" s="158"/>
      <c r="E40" s="157" t="str">
        <f>IF(A40&lt;&gt;"", VLOOKUP(A40, MEMBERS_INFO!$A$2:$B$21, 2, FALSE), "")</f>
        <v/>
      </c>
    </row>
    <row r="41" spans="1:5" ht="16.5" x14ac:dyDescent="0.25">
      <c r="A41" s="158"/>
      <c r="B41" s="37"/>
      <c r="C41" s="158"/>
      <c r="D41" s="158"/>
      <c r="E41" s="157" t="str">
        <f>IF(A41&lt;&gt;"", VLOOKUP(A41, MEMBERS_INFO!$A$2:$B$21, 2, FALSE), "")</f>
        <v/>
      </c>
    </row>
    <row r="42" spans="1:5" ht="16.5" x14ac:dyDescent="0.25">
      <c r="A42" s="158"/>
      <c r="B42" s="37"/>
      <c r="C42" s="158"/>
      <c r="D42" s="158"/>
      <c r="E42" s="157" t="str">
        <f>IF(A42&lt;&gt;"", VLOOKUP(A42, MEMBERS_INFO!$A$2:$B$21, 2, FALSE), "")</f>
        <v/>
      </c>
    </row>
    <row r="43" spans="1:5" ht="16.5" x14ac:dyDescent="0.25">
      <c r="A43" s="158"/>
      <c r="B43" s="37"/>
      <c r="C43" s="158"/>
      <c r="D43" s="158"/>
      <c r="E43" s="157" t="str">
        <f>IF(A43&lt;&gt;"", VLOOKUP(A43, MEMBERS_INFO!$A$2:$B$21, 2, FALSE), "")</f>
        <v/>
      </c>
    </row>
    <row r="44" spans="1:5" ht="16.5" x14ac:dyDescent="0.25">
      <c r="A44" s="158"/>
      <c r="B44" s="37"/>
      <c r="C44" s="158"/>
      <c r="D44" s="158"/>
      <c r="E44" s="157" t="str">
        <f>IF(A44&lt;&gt;"", VLOOKUP(A44, MEMBERS_INFO!$A$2:$B$21, 2, FALSE), "")</f>
        <v/>
      </c>
    </row>
    <row r="45" spans="1:5" ht="16.5" x14ac:dyDescent="0.25">
      <c r="A45" s="158"/>
      <c r="B45" s="37"/>
      <c r="C45" s="158"/>
      <c r="D45" s="158"/>
      <c r="E45" s="157" t="str">
        <f>IF(A45&lt;&gt;"", VLOOKUP(A45, MEMBERS_INFO!$A$2:$B$21, 2, FALSE), "")</f>
        <v/>
      </c>
    </row>
    <row r="46" spans="1:5" ht="16.5" x14ac:dyDescent="0.25">
      <c r="A46" s="158"/>
      <c r="B46" s="37"/>
      <c r="C46" s="158"/>
      <c r="D46" s="158"/>
      <c r="E46" s="157" t="str">
        <f>IF(A46&lt;&gt;"", VLOOKUP(A46, MEMBERS_INFO!$A$2:$B$21, 2, FALSE), "")</f>
        <v/>
      </c>
    </row>
    <row r="47" spans="1:5" ht="16.5" x14ac:dyDescent="0.25">
      <c r="A47" s="158"/>
      <c r="B47" s="37"/>
      <c r="C47" s="158"/>
      <c r="D47" s="158"/>
      <c r="E47" s="157" t="str">
        <f>IF(A47&lt;&gt;"", VLOOKUP(A47, MEMBERS_INFO!$A$2:$B$21, 2, FALSE), "")</f>
        <v/>
      </c>
    </row>
    <row r="48" spans="1:5" ht="16.5" x14ac:dyDescent="0.25">
      <c r="A48" s="158"/>
      <c r="B48" s="37"/>
      <c r="C48" s="158"/>
      <c r="D48" s="158"/>
      <c r="E48" s="157" t="str">
        <f>IF(A48&lt;&gt;"", VLOOKUP(A48, MEMBERS_INFO!$A$2:$B$21, 2, FALSE), "")</f>
        <v/>
      </c>
    </row>
    <row r="49" spans="1:5" ht="16.5" x14ac:dyDescent="0.25">
      <c r="A49" s="158"/>
      <c r="B49" s="37"/>
      <c r="C49" s="158"/>
      <c r="D49" s="158"/>
      <c r="E49" s="157" t="str">
        <f>IF(A49&lt;&gt;"", VLOOKUP(A49, MEMBERS_INFO!$A$2:$B$21, 2, FALSE), "")</f>
        <v/>
      </c>
    </row>
    <row r="50" spans="1:5" ht="16.5" x14ac:dyDescent="0.25">
      <c r="A50" s="158"/>
      <c r="B50" s="37"/>
      <c r="C50" s="158"/>
      <c r="D50" s="158"/>
      <c r="E50" s="157" t="str">
        <f>IF(A50&lt;&gt;"", VLOOKUP(A50, MEMBERS_INFO!$A$2:$B$21, 2, FALSE), "")</f>
        <v/>
      </c>
    </row>
    <row r="51" spans="1:5" ht="16.5" x14ac:dyDescent="0.25">
      <c r="A51" s="158"/>
      <c r="B51" s="37"/>
      <c r="C51" s="158"/>
      <c r="D51" s="158"/>
      <c r="E51" s="157" t="str">
        <f>IF(A51&lt;&gt;"", VLOOKUP(A51, MEMBERS_INFO!$A$2:$B$21, 2, FALSE), "")</f>
        <v/>
      </c>
    </row>
  </sheetData>
  <mergeCells count="3">
    <mergeCell ref="G1:H1"/>
    <mergeCell ref="G2:H2"/>
    <mergeCell ref="G13:H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57F04-BDC6-4F47-9520-057E295BFB91}">
  <sheetPr codeName="Sheet3">
    <tabColor rgb="FF7030A0"/>
  </sheetPr>
  <dimension ref="A1:B21"/>
  <sheetViews>
    <sheetView showGridLines="0" zoomScale="120" zoomScaleNormal="120" workbookViewId="0">
      <selection activeCell="F8" sqref="F8"/>
    </sheetView>
  </sheetViews>
  <sheetFormatPr defaultRowHeight="21" x14ac:dyDescent="0.25"/>
  <cols>
    <col min="1" max="1" width="22.140625" style="4" bestFit="1" customWidth="1"/>
    <col min="2" max="2" width="37.42578125" style="4" customWidth="1"/>
  </cols>
  <sheetData>
    <row r="1" spans="1:2" ht="23.25" customHeight="1" x14ac:dyDescent="0.25">
      <c r="A1" s="1" t="s">
        <v>0</v>
      </c>
      <c r="B1" s="1" t="s">
        <v>1</v>
      </c>
    </row>
    <row r="2" spans="1:2" ht="23.25" customHeight="1" x14ac:dyDescent="0.25">
      <c r="A2" s="2">
        <v>1</v>
      </c>
      <c r="B2" s="143" t="s">
        <v>88</v>
      </c>
    </row>
    <row r="3" spans="1:2" ht="23.25" customHeight="1" x14ac:dyDescent="0.25">
      <c r="A3" s="2">
        <v>2</v>
      </c>
      <c r="B3" s="143" t="s">
        <v>3</v>
      </c>
    </row>
    <row r="4" spans="1:2" ht="23.25" customHeight="1" x14ac:dyDescent="0.25">
      <c r="A4" s="2">
        <v>3</v>
      </c>
      <c r="B4" s="143" t="s">
        <v>4</v>
      </c>
    </row>
    <row r="5" spans="1:2" ht="23.25" customHeight="1" x14ac:dyDescent="0.25">
      <c r="A5" s="2">
        <v>4</v>
      </c>
      <c r="B5" s="143" t="s">
        <v>5</v>
      </c>
    </row>
    <row r="6" spans="1:2" ht="23.25" customHeight="1" x14ac:dyDescent="0.25">
      <c r="A6" s="2">
        <v>5</v>
      </c>
      <c r="B6" s="143" t="s">
        <v>6</v>
      </c>
    </row>
    <row r="7" spans="1:2" ht="23.25" customHeight="1" x14ac:dyDescent="0.25">
      <c r="A7" s="2">
        <v>6</v>
      </c>
      <c r="B7" s="143" t="s">
        <v>7</v>
      </c>
    </row>
    <row r="8" spans="1:2" ht="23.25" customHeight="1" x14ac:dyDescent="0.25">
      <c r="A8" s="2">
        <v>7</v>
      </c>
      <c r="B8" s="143" t="s">
        <v>8</v>
      </c>
    </row>
    <row r="9" spans="1:2" ht="23.25" customHeight="1" x14ac:dyDescent="0.25">
      <c r="A9" s="2">
        <v>8</v>
      </c>
      <c r="B9" s="143" t="s">
        <v>9</v>
      </c>
    </row>
    <row r="10" spans="1:2" ht="23.25" customHeight="1" x14ac:dyDescent="0.25">
      <c r="A10" s="2">
        <v>9</v>
      </c>
      <c r="B10" s="143" t="s">
        <v>66</v>
      </c>
    </row>
    <row r="11" spans="1:2" ht="23.25" customHeight="1" x14ac:dyDescent="0.25">
      <c r="A11" s="2">
        <v>10</v>
      </c>
      <c r="B11" s="143" t="s">
        <v>10</v>
      </c>
    </row>
    <row r="12" spans="1:2" ht="23.25" customHeight="1" x14ac:dyDescent="0.25">
      <c r="A12" s="2">
        <v>11</v>
      </c>
      <c r="B12" s="143" t="s">
        <v>14</v>
      </c>
    </row>
    <row r="13" spans="1:2" ht="23.25" customHeight="1" x14ac:dyDescent="0.25">
      <c r="A13" s="2">
        <v>12</v>
      </c>
      <c r="B13" s="143" t="s">
        <v>11</v>
      </c>
    </row>
    <row r="14" spans="1:2" ht="23.25" customHeight="1" x14ac:dyDescent="0.25">
      <c r="A14" s="2">
        <v>13</v>
      </c>
      <c r="B14" s="143" t="s">
        <v>12</v>
      </c>
    </row>
    <row r="15" spans="1:2" ht="23.25" customHeight="1" x14ac:dyDescent="0.25">
      <c r="A15" s="2">
        <v>14</v>
      </c>
      <c r="B15" s="143" t="s">
        <v>13</v>
      </c>
    </row>
    <row r="16" spans="1:2" ht="23.25" customHeight="1" x14ac:dyDescent="0.25">
      <c r="A16" s="2">
        <v>15</v>
      </c>
      <c r="B16" s="143" t="s">
        <v>67</v>
      </c>
    </row>
    <row r="17" spans="1:2" ht="24.75" customHeight="1" x14ac:dyDescent="0.25">
      <c r="A17" s="2">
        <v>16</v>
      </c>
      <c r="B17" s="143" t="s">
        <v>82</v>
      </c>
    </row>
    <row r="18" spans="1:2" ht="24.75" customHeight="1" x14ac:dyDescent="0.25">
      <c r="A18" s="2">
        <v>17</v>
      </c>
      <c r="B18" s="143" t="s">
        <v>86</v>
      </c>
    </row>
    <row r="19" spans="1:2" ht="24.75" customHeight="1" x14ac:dyDescent="0.25">
      <c r="A19" s="2">
        <v>18</v>
      </c>
      <c r="B19" s="3" t="s">
        <v>15</v>
      </c>
    </row>
    <row r="20" spans="1:2" ht="24.75" customHeight="1" x14ac:dyDescent="0.25">
      <c r="A20" s="2">
        <v>19</v>
      </c>
      <c r="B20" s="3" t="s">
        <v>15</v>
      </c>
    </row>
    <row r="21" spans="1:2" ht="26.25" customHeight="1" x14ac:dyDescent="0.25">
      <c r="A21" s="2">
        <v>20</v>
      </c>
      <c r="B21" s="3" t="s">
        <v>15</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DB7F-FB38-4ACE-A1D7-A8898C5DDFE0}">
  <sheetPr codeName="Sheet4">
    <tabColor rgb="FF7030A0"/>
  </sheetPr>
  <dimension ref="A1:E52"/>
  <sheetViews>
    <sheetView showGridLines="0" workbookViewId="0">
      <pane ySplit="1" topLeftCell="A2" activePane="bottomLeft" state="frozen"/>
      <selection activeCell="B17" sqref="B17"/>
      <selection pane="bottomLeft" activeCell="G15" sqref="G15"/>
    </sheetView>
  </sheetViews>
  <sheetFormatPr defaultRowHeight="15.75" x14ac:dyDescent="0.25"/>
  <cols>
    <col min="1" max="1" width="9.42578125" style="11" bestFit="1" customWidth="1"/>
    <col min="2" max="2" width="11.140625" style="11" bestFit="1" customWidth="1"/>
  </cols>
  <sheetData>
    <row r="1" spans="1:5" ht="18.75" x14ac:dyDescent="0.25">
      <c r="A1" s="5" t="s">
        <v>16</v>
      </c>
      <c r="B1" s="6" t="s">
        <v>17</v>
      </c>
      <c r="D1" s="7">
        <v>10</v>
      </c>
      <c r="E1" s="41">
        <f>INDEX!C6</f>
        <v>75</v>
      </c>
    </row>
    <row r="2" spans="1:5" x14ac:dyDescent="0.25">
      <c r="A2" s="8">
        <v>5</v>
      </c>
      <c r="B2" s="40">
        <f>($E$1*Table2[[#This Row],[Fat]])/$D$1</f>
        <v>37.5</v>
      </c>
    </row>
    <row r="3" spans="1:5" x14ac:dyDescent="0.25">
      <c r="A3" s="9">
        <v>5.0999999999999996</v>
      </c>
      <c r="B3" s="40">
        <f>($E$1*Table2[[#This Row],[Fat]])/$D$1</f>
        <v>38.25</v>
      </c>
    </row>
    <row r="4" spans="1:5" x14ac:dyDescent="0.25">
      <c r="A4" s="8">
        <v>5.2</v>
      </c>
      <c r="B4" s="40">
        <f>($E$1*Table2[[#This Row],[Fat]])/$D$1</f>
        <v>39</v>
      </c>
    </row>
    <row r="5" spans="1:5" x14ac:dyDescent="0.25">
      <c r="A5" s="9">
        <v>5.3</v>
      </c>
      <c r="B5" s="40">
        <f>($E$1*Table2[[#This Row],[Fat]])/$D$1</f>
        <v>39.75</v>
      </c>
    </row>
    <row r="6" spans="1:5" x14ac:dyDescent="0.25">
      <c r="A6" s="8">
        <v>5.4</v>
      </c>
      <c r="B6" s="40">
        <f>($E$1*Table2[[#This Row],[Fat]])/$D$1</f>
        <v>40.5</v>
      </c>
    </row>
    <row r="7" spans="1:5" x14ac:dyDescent="0.25">
      <c r="A7" s="9">
        <v>5.5</v>
      </c>
      <c r="B7" s="40">
        <f>($E$1*Table2[[#This Row],[Fat]])/$D$1</f>
        <v>41.25</v>
      </c>
    </row>
    <row r="8" spans="1:5" x14ac:dyDescent="0.25">
      <c r="A8" s="8">
        <v>5.6</v>
      </c>
      <c r="B8" s="40">
        <f>($E$1*Table2[[#This Row],[Fat]])/$D$1</f>
        <v>42</v>
      </c>
    </row>
    <row r="9" spans="1:5" x14ac:dyDescent="0.25">
      <c r="A9" s="9">
        <v>5.7</v>
      </c>
      <c r="B9" s="40">
        <f>($E$1*Table2[[#This Row],[Fat]])/$D$1</f>
        <v>42.75</v>
      </c>
    </row>
    <row r="10" spans="1:5" x14ac:dyDescent="0.25">
      <c r="A10" s="8">
        <v>5.8</v>
      </c>
      <c r="B10" s="40">
        <f>($E$1*Table2[[#This Row],[Fat]])/$D$1</f>
        <v>43.5</v>
      </c>
    </row>
    <row r="11" spans="1:5" x14ac:dyDescent="0.25">
      <c r="A11" s="9">
        <v>5.9</v>
      </c>
      <c r="B11" s="40">
        <f>($E$1*Table2[[#This Row],[Fat]])/$D$1</f>
        <v>44.25</v>
      </c>
    </row>
    <row r="12" spans="1:5" x14ac:dyDescent="0.25">
      <c r="A12" s="8">
        <v>6</v>
      </c>
      <c r="B12" s="40">
        <f>($E$1*Table2[[#This Row],[Fat]])/$D$1</f>
        <v>45</v>
      </c>
    </row>
    <row r="13" spans="1:5" x14ac:dyDescent="0.25">
      <c r="A13" s="9">
        <v>6.1</v>
      </c>
      <c r="B13" s="40">
        <f>($E$1*Table2[[#This Row],[Fat]])/$D$1</f>
        <v>45.75</v>
      </c>
    </row>
    <row r="14" spans="1:5" x14ac:dyDescent="0.25">
      <c r="A14" s="8">
        <v>6.2</v>
      </c>
      <c r="B14" s="40">
        <f>($E$1*Table2[[#This Row],[Fat]])/$D$1</f>
        <v>46.5</v>
      </c>
    </row>
    <row r="15" spans="1:5" x14ac:dyDescent="0.25">
      <c r="A15" s="9">
        <v>6.3</v>
      </c>
      <c r="B15" s="40">
        <f>($E$1*Table2[[#This Row],[Fat]])/$D$1</f>
        <v>47.25</v>
      </c>
    </row>
    <row r="16" spans="1:5" x14ac:dyDescent="0.25">
      <c r="A16" s="8">
        <v>6.4</v>
      </c>
      <c r="B16" s="40">
        <f>($E$1*Table2[[#This Row],[Fat]])/$D$1</f>
        <v>48</v>
      </c>
    </row>
    <row r="17" spans="1:2" x14ac:dyDescent="0.25">
      <c r="A17" s="9">
        <v>6.5</v>
      </c>
      <c r="B17" s="40">
        <f>($E$1*Table2[[#This Row],[Fat]])/$D$1</f>
        <v>48.75</v>
      </c>
    </row>
    <row r="18" spans="1:2" x14ac:dyDescent="0.25">
      <c r="A18" s="8">
        <v>6.6</v>
      </c>
      <c r="B18" s="40">
        <f>($E$1*Table2[[#This Row],[Fat]])/$D$1</f>
        <v>49.5</v>
      </c>
    </row>
    <row r="19" spans="1:2" x14ac:dyDescent="0.25">
      <c r="A19" s="9">
        <v>6.7</v>
      </c>
      <c r="B19" s="40">
        <f>($E$1*Table2[[#This Row],[Fat]])/$D$1</f>
        <v>50.25</v>
      </c>
    </row>
    <row r="20" spans="1:2" x14ac:dyDescent="0.25">
      <c r="A20" s="8">
        <v>6.8</v>
      </c>
      <c r="B20" s="40">
        <f>($E$1*Table2[[#This Row],[Fat]])/$D$1</f>
        <v>51</v>
      </c>
    </row>
    <row r="21" spans="1:2" x14ac:dyDescent="0.25">
      <c r="A21" s="9">
        <v>6.9</v>
      </c>
      <c r="B21" s="40">
        <f>($E$1*Table2[[#This Row],[Fat]])/$D$1</f>
        <v>51.75</v>
      </c>
    </row>
    <row r="22" spans="1:2" x14ac:dyDescent="0.25">
      <c r="A22" s="8">
        <v>7</v>
      </c>
      <c r="B22" s="40">
        <f>($E$1*Table2[[#This Row],[Fat]])/$D$1</f>
        <v>52.5</v>
      </c>
    </row>
    <row r="23" spans="1:2" x14ac:dyDescent="0.25">
      <c r="A23" s="9">
        <v>7.1</v>
      </c>
      <c r="B23" s="40">
        <f>($E$1*Table2[[#This Row],[Fat]])/$D$1</f>
        <v>53.25</v>
      </c>
    </row>
    <row r="24" spans="1:2" x14ac:dyDescent="0.25">
      <c r="A24" s="8">
        <v>7.2</v>
      </c>
      <c r="B24" s="40">
        <f>($E$1*Table2[[#This Row],[Fat]])/$D$1</f>
        <v>54</v>
      </c>
    </row>
    <row r="25" spans="1:2" x14ac:dyDescent="0.25">
      <c r="A25" s="9">
        <v>7.3</v>
      </c>
      <c r="B25" s="40">
        <f>($E$1*Table2[[#This Row],[Fat]])/$D$1</f>
        <v>54.75</v>
      </c>
    </row>
    <row r="26" spans="1:2" x14ac:dyDescent="0.25">
      <c r="A26" s="8">
        <v>7.4</v>
      </c>
      <c r="B26" s="40">
        <f>($E$1*Table2[[#This Row],[Fat]])/$D$1</f>
        <v>55.5</v>
      </c>
    </row>
    <row r="27" spans="1:2" x14ac:dyDescent="0.25">
      <c r="A27" s="8">
        <v>7.5</v>
      </c>
      <c r="B27" s="40">
        <f>($E$1*Table2[[#This Row],[Fat]])/$D$1</f>
        <v>56.25</v>
      </c>
    </row>
    <row r="28" spans="1:2" x14ac:dyDescent="0.25">
      <c r="A28" s="9">
        <v>7.6</v>
      </c>
      <c r="B28" s="40">
        <f>($E$1*Table2[[#This Row],[Fat]])/$D$1</f>
        <v>57</v>
      </c>
    </row>
    <row r="29" spans="1:2" x14ac:dyDescent="0.25">
      <c r="A29" s="8">
        <v>7.7</v>
      </c>
      <c r="B29" s="40">
        <f>($E$1*Table2[[#This Row],[Fat]])/$D$1</f>
        <v>57.75</v>
      </c>
    </row>
    <row r="30" spans="1:2" x14ac:dyDescent="0.25">
      <c r="A30" s="9">
        <v>7.8</v>
      </c>
      <c r="B30" s="40">
        <f>($E$1*Table2[[#This Row],[Fat]])/$D$1</f>
        <v>58.5</v>
      </c>
    </row>
    <row r="31" spans="1:2" x14ac:dyDescent="0.25">
      <c r="A31" s="8">
        <v>7.9</v>
      </c>
      <c r="B31" s="40">
        <f>($E$1*Table2[[#This Row],[Fat]])/$D$1</f>
        <v>59.25</v>
      </c>
    </row>
    <row r="32" spans="1:2" x14ac:dyDescent="0.25">
      <c r="A32" s="9">
        <v>8</v>
      </c>
      <c r="B32" s="40">
        <f>($E$1*Table2[[#This Row],[Fat]])/$D$1</f>
        <v>60</v>
      </c>
    </row>
    <row r="33" spans="1:2" x14ac:dyDescent="0.25">
      <c r="A33" s="8">
        <v>8.1</v>
      </c>
      <c r="B33" s="40">
        <f>($E$1*Table2[[#This Row],[Fat]])/$D$1</f>
        <v>60.75</v>
      </c>
    </row>
    <row r="34" spans="1:2" x14ac:dyDescent="0.25">
      <c r="A34" s="9">
        <v>8.1999999999999993</v>
      </c>
      <c r="B34" s="40">
        <f>($E$1*Table2[[#This Row],[Fat]])/$D$1</f>
        <v>61.5</v>
      </c>
    </row>
    <row r="35" spans="1:2" x14ac:dyDescent="0.25">
      <c r="A35" s="8">
        <v>8.3000000000000007</v>
      </c>
      <c r="B35" s="40">
        <f>($E$1*Table2[[#This Row],[Fat]])/$D$1</f>
        <v>62.25</v>
      </c>
    </row>
    <row r="36" spans="1:2" x14ac:dyDescent="0.25">
      <c r="A36" s="9">
        <v>8.4</v>
      </c>
      <c r="B36" s="40">
        <f>($E$1*Table2[[#This Row],[Fat]])/$D$1</f>
        <v>63</v>
      </c>
    </row>
    <row r="37" spans="1:2" x14ac:dyDescent="0.25">
      <c r="A37" s="8">
        <v>8.5</v>
      </c>
      <c r="B37" s="40">
        <f>($E$1*Table2[[#This Row],[Fat]])/$D$1</f>
        <v>63.75</v>
      </c>
    </row>
    <row r="38" spans="1:2" x14ac:dyDescent="0.25">
      <c r="A38" s="9">
        <v>8.6</v>
      </c>
      <c r="B38" s="40">
        <f>($E$1*Table2[[#This Row],[Fat]])/$D$1</f>
        <v>64.5</v>
      </c>
    </row>
    <row r="39" spans="1:2" x14ac:dyDescent="0.25">
      <c r="A39" s="8">
        <v>8.6999999999999993</v>
      </c>
      <c r="B39" s="40">
        <f>($E$1*Table2[[#This Row],[Fat]])/$D$1</f>
        <v>65.25</v>
      </c>
    </row>
    <row r="40" spans="1:2" x14ac:dyDescent="0.25">
      <c r="A40" s="9">
        <v>8.8000000000000007</v>
      </c>
      <c r="B40" s="40">
        <f>($E$1*Table2[[#This Row],[Fat]])/$D$1</f>
        <v>66</v>
      </c>
    </row>
    <row r="41" spans="1:2" x14ac:dyDescent="0.25">
      <c r="A41" s="8">
        <v>8.9</v>
      </c>
      <c r="B41" s="40">
        <f>($E$1*Table2[[#This Row],[Fat]])/$D$1</f>
        <v>66.75</v>
      </c>
    </row>
    <row r="42" spans="1:2" x14ac:dyDescent="0.25">
      <c r="A42" s="9">
        <v>9</v>
      </c>
      <c r="B42" s="40">
        <f>($E$1*Table2[[#This Row],[Fat]])/$D$1</f>
        <v>67.5</v>
      </c>
    </row>
    <row r="43" spans="1:2" x14ac:dyDescent="0.25">
      <c r="A43" s="8">
        <v>9.1</v>
      </c>
      <c r="B43" s="40">
        <f>($E$1*Table2[[#This Row],[Fat]])/$D$1</f>
        <v>68.25</v>
      </c>
    </row>
    <row r="44" spans="1:2" x14ac:dyDescent="0.25">
      <c r="A44" s="9">
        <v>9.1999999999999993</v>
      </c>
      <c r="B44" s="40">
        <f>($E$1*Table2[[#This Row],[Fat]])/$D$1</f>
        <v>69</v>
      </c>
    </row>
    <row r="45" spans="1:2" x14ac:dyDescent="0.25">
      <c r="A45" s="8">
        <v>9.3000000000000007</v>
      </c>
      <c r="B45" s="40">
        <f>($E$1*Table2[[#This Row],[Fat]])/$D$1</f>
        <v>69.75</v>
      </c>
    </row>
    <row r="46" spans="1:2" x14ac:dyDescent="0.25">
      <c r="A46" s="9">
        <v>9.4</v>
      </c>
      <c r="B46" s="40">
        <f>($E$1*Table2[[#This Row],[Fat]])/$D$1</f>
        <v>70.5</v>
      </c>
    </row>
    <row r="47" spans="1:2" x14ac:dyDescent="0.25">
      <c r="A47" s="8">
        <v>9.5</v>
      </c>
      <c r="B47" s="40">
        <f>($E$1*Table2[[#This Row],[Fat]])/$D$1</f>
        <v>71.25</v>
      </c>
    </row>
    <row r="48" spans="1:2" x14ac:dyDescent="0.25">
      <c r="A48" s="9">
        <v>9.6</v>
      </c>
      <c r="B48" s="40">
        <f>($E$1*Table2[[#This Row],[Fat]])/$D$1</f>
        <v>72</v>
      </c>
    </row>
    <row r="49" spans="1:2" x14ac:dyDescent="0.25">
      <c r="A49" s="8">
        <v>9.6999999999999993</v>
      </c>
      <c r="B49" s="40">
        <f>($E$1*Table2[[#This Row],[Fat]])/$D$1</f>
        <v>72.75</v>
      </c>
    </row>
    <row r="50" spans="1:2" x14ac:dyDescent="0.25">
      <c r="A50" s="9">
        <v>9.8000000000000007</v>
      </c>
      <c r="B50" s="40">
        <f>($E$1*Table2[[#This Row],[Fat]])/$D$1</f>
        <v>73.5</v>
      </c>
    </row>
    <row r="51" spans="1:2" x14ac:dyDescent="0.25">
      <c r="A51" s="8">
        <v>9.9</v>
      </c>
      <c r="B51" s="40">
        <f>($E$1*Table2[[#This Row],[Fat]])/$D$1</f>
        <v>74.25</v>
      </c>
    </row>
    <row r="52" spans="1:2" x14ac:dyDescent="0.25">
      <c r="A52" s="10">
        <v>10</v>
      </c>
      <c r="B52" s="40">
        <f>($E$1*Table2[[#This Row],[Fat]])/$D$1</f>
        <v>75</v>
      </c>
    </row>
  </sheetData>
  <pageMargins left="0.7" right="0.7" top="0.75" bottom="0.75" header="0.3" footer="0.3"/>
  <pageSetup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58303-42B2-4CD8-9E37-3F0263DFBBA1}">
  <sheetPr codeName="Sheet12">
    <tabColor rgb="FFFF0000"/>
  </sheetPr>
  <dimension ref="A1:D117"/>
  <sheetViews>
    <sheetView showGridLines="0" workbookViewId="0">
      <pane ySplit="1" topLeftCell="A2" activePane="bottomLeft" state="frozen"/>
      <selection pane="bottomLeft" activeCell="A3" sqref="A3"/>
    </sheetView>
  </sheetViews>
  <sheetFormatPr defaultRowHeight="15" x14ac:dyDescent="0.25"/>
  <cols>
    <col min="1" max="1" width="9.7109375" bestFit="1" customWidth="1"/>
    <col min="2" max="2" width="7.42578125" bestFit="1" customWidth="1"/>
    <col min="3" max="3" width="12.28515625" bestFit="1" customWidth="1"/>
    <col min="4" max="4" width="15.42578125" bestFit="1" customWidth="1"/>
    <col min="5" max="5" width="37.28515625" customWidth="1"/>
  </cols>
  <sheetData>
    <row r="1" spans="1:4" x14ac:dyDescent="0.25">
      <c r="A1" s="122" t="s">
        <v>23</v>
      </c>
      <c r="B1" s="122" t="s">
        <v>38</v>
      </c>
      <c r="C1" s="122" t="s">
        <v>74</v>
      </c>
      <c r="D1" s="122" t="s">
        <v>73</v>
      </c>
    </row>
    <row r="2" spans="1:4" x14ac:dyDescent="0.25">
      <c r="A2" s="126">
        <v>45901</v>
      </c>
      <c r="B2" s="124">
        <v>2</v>
      </c>
      <c r="C2" s="124" t="s">
        <v>27</v>
      </c>
      <c r="D2" s="127">
        <v>45915.886238425926</v>
      </c>
    </row>
    <row r="3" spans="1:4" x14ac:dyDescent="0.25">
      <c r="A3" s="123">
        <v>45902</v>
      </c>
      <c r="B3" s="124">
        <v>2</v>
      </c>
      <c r="C3" s="124" t="s">
        <v>27</v>
      </c>
      <c r="D3" s="125">
        <v>45915.886238425926</v>
      </c>
    </row>
    <row r="4" spans="1:4" x14ac:dyDescent="0.25">
      <c r="A4" s="123">
        <v>45903</v>
      </c>
      <c r="B4" s="124">
        <v>2</v>
      </c>
      <c r="C4" s="124" t="s">
        <v>27</v>
      </c>
      <c r="D4" s="125">
        <v>45915.886238425926</v>
      </c>
    </row>
    <row r="5" spans="1:4" x14ac:dyDescent="0.25">
      <c r="A5" s="123">
        <v>45904</v>
      </c>
      <c r="B5" s="124">
        <v>2</v>
      </c>
      <c r="C5" s="124" t="s">
        <v>27</v>
      </c>
      <c r="D5" s="125">
        <v>45915.886250000003</v>
      </c>
    </row>
    <row r="6" spans="1:4" x14ac:dyDescent="0.25">
      <c r="A6" s="123">
        <v>45905</v>
      </c>
      <c r="B6" s="124">
        <v>2</v>
      </c>
      <c r="C6" s="124" t="s">
        <v>27</v>
      </c>
      <c r="D6" s="125">
        <v>45915.886250000003</v>
      </c>
    </row>
    <row r="7" spans="1:4" x14ac:dyDescent="0.25">
      <c r="A7" s="123">
        <v>45906</v>
      </c>
      <c r="B7" s="124">
        <v>2</v>
      </c>
      <c r="C7" s="124" t="s">
        <v>27</v>
      </c>
      <c r="D7" s="125">
        <v>45915.886250000003</v>
      </c>
    </row>
    <row r="8" spans="1:4" x14ac:dyDescent="0.25">
      <c r="A8" s="123">
        <v>45907</v>
      </c>
      <c r="B8" s="124">
        <v>2</v>
      </c>
      <c r="C8" s="124" t="s">
        <v>27</v>
      </c>
      <c r="D8" s="125">
        <v>45915.886250000003</v>
      </c>
    </row>
    <row r="9" spans="1:4" x14ac:dyDescent="0.25">
      <c r="A9" s="123">
        <v>45908</v>
      </c>
      <c r="B9" s="124">
        <v>2</v>
      </c>
      <c r="C9" s="124" t="s">
        <v>27</v>
      </c>
      <c r="D9" s="125">
        <v>45915.886250000003</v>
      </c>
    </row>
    <row r="10" spans="1:4" x14ac:dyDescent="0.25">
      <c r="A10" s="123">
        <v>45909</v>
      </c>
      <c r="B10" s="124">
        <v>2</v>
      </c>
      <c r="C10" s="124" t="s">
        <v>27</v>
      </c>
      <c r="D10" s="125">
        <v>45915.886250000003</v>
      </c>
    </row>
    <row r="11" spans="1:4" x14ac:dyDescent="0.25">
      <c r="A11" s="123">
        <v>45910</v>
      </c>
      <c r="B11" s="124">
        <v>2</v>
      </c>
      <c r="C11" s="124" t="s">
        <v>27</v>
      </c>
      <c r="D11" s="125">
        <v>45915.886261574073</v>
      </c>
    </row>
    <row r="12" spans="1:4" x14ac:dyDescent="0.25">
      <c r="A12" s="126">
        <v>45911</v>
      </c>
      <c r="B12" s="124">
        <v>2</v>
      </c>
      <c r="C12" s="124" t="s">
        <v>27</v>
      </c>
      <c r="D12" s="127">
        <v>45915.886261574073</v>
      </c>
    </row>
    <row r="13" spans="1:4" x14ac:dyDescent="0.25">
      <c r="A13" s="123">
        <v>45912</v>
      </c>
      <c r="B13" s="124">
        <v>2</v>
      </c>
      <c r="C13" s="124" t="s">
        <v>27</v>
      </c>
      <c r="D13" s="125">
        <v>45915.886261574073</v>
      </c>
    </row>
    <row r="14" spans="1:4" x14ac:dyDescent="0.25">
      <c r="A14" s="123">
        <v>45913</v>
      </c>
      <c r="B14" s="124">
        <v>2</v>
      </c>
      <c r="C14" s="124" t="s">
        <v>27</v>
      </c>
      <c r="D14" s="125">
        <v>45915.886261574073</v>
      </c>
    </row>
    <row r="15" spans="1:4" x14ac:dyDescent="0.25">
      <c r="A15" s="123">
        <v>45914</v>
      </c>
      <c r="B15" s="124">
        <v>2</v>
      </c>
      <c r="C15" s="124" t="s">
        <v>27</v>
      </c>
      <c r="D15" s="125">
        <v>45915.886261574073</v>
      </c>
    </row>
    <row r="16" spans="1:4" x14ac:dyDescent="0.25">
      <c r="A16" s="123">
        <v>45915</v>
      </c>
      <c r="B16" s="124">
        <v>2</v>
      </c>
      <c r="C16" s="124" t="s">
        <v>27</v>
      </c>
      <c r="D16" s="125">
        <v>45915.886273148149</v>
      </c>
    </row>
    <row r="17" spans="1:4" x14ac:dyDescent="0.25">
      <c r="A17" s="123">
        <v>45904</v>
      </c>
      <c r="B17" s="124">
        <v>5</v>
      </c>
      <c r="C17" s="124" t="s">
        <v>37</v>
      </c>
      <c r="D17" s="125">
        <v>45915.886250000003</v>
      </c>
    </row>
    <row r="18" spans="1:4" x14ac:dyDescent="0.25">
      <c r="A18" s="123">
        <v>45907</v>
      </c>
      <c r="B18" s="124">
        <v>5</v>
      </c>
      <c r="C18" s="124" t="s">
        <v>27</v>
      </c>
      <c r="D18" s="125">
        <v>45915.886250000003</v>
      </c>
    </row>
    <row r="19" spans="1:4" x14ac:dyDescent="0.25">
      <c r="A19" s="123">
        <v>45912</v>
      </c>
      <c r="B19" s="124">
        <v>5</v>
      </c>
      <c r="C19" s="124" t="s">
        <v>27</v>
      </c>
      <c r="D19" s="125">
        <v>45915.886261574073</v>
      </c>
    </row>
    <row r="20" spans="1:4" x14ac:dyDescent="0.25">
      <c r="A20" s="123">
        <v>45901</v>
      </c>
      <c r="B20" s="124">
        <v>7</v>
      </c>
      <c r="C20" s="124" t="s">
        <v>27</v>
      </c>
      <c r="D20" s="125">
        <v>45915.886238425926</v>
      </c>
    </row>
    <row r="21" spans="1:4" x14ac:dyDescent="0.25">
      <c r="A21" s="123">
        <v>45902</v>
      </c>
      <c r="B21" s="124">
        <v>7</v>
      </c>
      <c r="C21" s="124" t="s">
        <v>27</v>
      </c>
      <c r="D21" s="125">
        <v>45915.886238425926</v>
      </c>
    </row>
    <row r="22" spans="1:4" x14ac:dyDescent="0.25">
      <c r="A22" s="123">
        <v>45903</v>
      </c>
      <c r="B22" s="124">
        <v>7</v>
      </c>
      <c r="C22" s="124" t="s">
        <v>27</v>
      </c>
      <c r="D22" s="125">
        <v>45915.886238425926</v>
      </c>
    </row>
    <row r="23" spans="1:4" x14ac:dyDescent="0.25">
      <c r="A23" s="123">
        <v>45904</v>
      </c>
      <c r="B23" s="124">
        <v>7</v>
      </c>
      <c r="C23" s="124" t="s">
        <v>27</v>
      </c>
      <c r="D23" s="125">
        <v>45915.886250000003</v>
      </c>
    </row>
    <row r="24" spans="1:4" x14ac:dyDescent="0.25">
      <c r="A24" s="126">
        <v>45905</v>
      </c>
      <c r="B24" s="124">
        <v>7</v>
      </c>
      <c r="C24" s="124" t="s">
        <v>27</v>
      </c>
      <c r="D24" s="127">
        <v>45915.886250000003</v>
      </c>
    </row>
    <row r="25" spans="1:4" x14ac:dyDescent="0.25">
      <c r="A25" s="123">
        <v>45906</v>
      </c>
      <c r="B25" s="124">
        <v>7</v>
      </c>
      <c r="C25" s="124" t="s">
        <v>27</v>
      </c>
      <c r="D25" s="125">
        <v>45915.886250000003</v>
      </c>
    </row>
    <row r="26" spans="1:4" x14ac:dyDescent="0.25">
      <c r="A26" s="123">
        <v>45907</v>
      </c>
      <c r="B26" s="124">
        <v>7</v>
      </c>
      <c r="C26" s="124" t="s">
        <v>27</v>
      </c>
      <c r="D26" s="125">
        <v>45915.886250000003</v>
      </c>
    </row>
    <row r="27" spans="1:4" x14ac:dyDescent="0.25">
      <c r="A27" s="123">
        <v>45908</v>
      </c>
      <c r="B27" s="124">
        <v>7</v>
      </c>
      <c r="C27" s="124" t="s">
        <v>27</v>
      </c>
      <c r="D27" s="125">
        <v>45915.886250000003</v>
      </c>
    </row>
    <row r="28" spans="1:4" x14ac:dyDescent="0.25">
      <c r="A28" s="123">
        <v>45909</v>
      </c>
      <c r="B28" s="124">
        <v>7</v>
      </c>
      <c r="C28" s="124" t="s">
        <v>27</v>
      </c>
      <c r="D28" s="125">
        <v>45915.886261574073</v>
      </c>
    </row>
    <row r="29" spans="1:4" x14ac:dyDescent="0.25">
      <c r="A29" s="123">
        <v>45910</v>
      </c>
      <c r="B29" s="124">
        <v>7</v>
      </c>
      <c r="C29" s="124" t="s">
        <v>27</v>
      </c>
      <c r="D29" s="125">
        <v>45915.886261574073</v>
      </c>
    </row>
    <row r="30" spans="1:4" x14ac:dyDescent="0.25">
      <c r="A30" s="123">
        <v>45901</v>
      </c>
      <c r="B30" s="124">
        <v>10</v>
      </c>
      <c r="C30" s="124" t="s">
        <v>37</v>
      </c>
      <c r="D30" s="125">
        <v>45915.886238425926</v>
      </c>
    </row>
    <row r="31" spans="1:4" x14ac:dyDescent="0.25">
      <c r="A31" s="123">
        <v>45901</v>
      </c>
      <c r="B31" s="124">
        <v>10</v>
      </c>
      <c r="C31" s="124" t="s">
        <v>27</v>
      </c>
      <c r="D31" s="125">
        <v>45915.886238425926</v>
      </c>
    </row>
    <row r="32" spans="1:4" x14ac:dyDescent="0.25">
      <c r="A32" s="123">
        <v>45902</v>
      </c>
      <c r="B32" s="124">
        <v>10</v>
      </c>
      <c r="C32" s="124" t="s">
        <v>37</v>
      </c>
      <c r="D32" s="125">
        <v>45915.886238425926</v>
      </c>
    </row>
    <row r="33" spans="1:4" x14ac:dyDescent="0.25">
      <c r="A33" s="123">
        <v>45902</v>
      </c>
      <c r="B33" s="124">
        <v>10</v>
      </c>
      <c r="C33" s="124" t="s">
        <v>27</v>
      </c>
      <c r="D33" s="125">
        <v>45915.886238425926</v>
      </c>
    </row>
    <row r="34" spans="1:4" x14ac:dyDescent="0.25">
      <c r="A34" s="123">
        <v>45903</v>
      </c>
      <c r="B34" s="124">
        <v>10</v>
      </c>
      <c r="C34" s="124" t="s">
        <v>37</v>
      </c>
      <c r="D34" s="125">
        <v>45915.886250000003</v>
      </c>
    </row>
    <row r="35" spans="1:4" x14ac:dyDescent="0.25">
      <c r="A35" s="123">
        <v>45903</v>
      </c>
      <c r="B35" s="124">
        <v>10</v>
      </c>
      <c r="C35" s="124" t="s">
        <v>27</v>
      </c>
      <c r="D35" s="125">
        <v>45915.886250000003</v>
      </c>
    </row>
    <row r="36" spans="1:4" x14ac:dyDescent="0.25">
      <c r="A36" s="123">
        <v>45908</v>
      </c>
      <c r="B36" s="124">
        <v>10</v>
      </c>
      <c r="C36" s="124" t="s">
        <v>27</v>
      </c>
      <c r="D36" s="125">
        <v>45915.886250000003</v>
      </c>
    </row>
    <row r="37" spans="1:4" x14ac:dyDescent="0.25">
      <c r="A37" s="123">
        <v>45909</v>
      </c>
      <c r="B37" s="124">
        <v>10</v>
      </c>
      <c r="C37" s="124" t="s">
        <v>27</v>
      </c>
      <c r="D37" s="125">
        <v>45915.886261574073</v>
      </c>
    </row>
    <row r="38" spans="1:4" x14ac:dyDescent="0.25">
      <c r="A38" s="123">
        <v>45910</v>
      </c>
      <c r="B38" s="124">
        <v>10</v>
      </c>
      <c r="C38" s="124" t="s">
        <v>27</v>
      </c>
      <c r="D38" s="125">
        <v>45915.886261574073</v>
      </c>
    </row>
    <row r="39" spans="1:4" x14ac:dyDescent="0.25">
      <c r="A39" s="123">
        <v>45911</v>
      </c>
      <c r="B39" s="124">
        <v>10</v>
      </c>
      <c r="C39" s="124" t="s">
        <v>27</v>
      </c>
      <c r="D39" s="125">
        <v>45915.886261574073</v>
      </c>
    </row>
    <row r="40" spans="1:4" x14ac:dyDescent="0.25">
      <c r="A40" s="123">
        <v>45912</v>
      </c>
      <c r="B40" s="124">
        <v>10</v>
      </c>
      <c r="C40" s="124" t="s">
        <v>27</v>
      </c>
      <c r="D40" s="125">
        <v>45915.886261574073</v>
      </c>
    </row>
    <row r="41" spans="1:4" x14ac:dyDescent="0.25">
      <c r="A41" s="123">
        <v>45913</v>
      </c>
      <c r="B41" s="124">
        <v>10</v>
      </c>
      <c r="C41" s="124" t="s">
        <v>27</v>
      </c>
      <c r="D41" s="125">
        <v>45915.886261574073</v>
      </c>
    </row>
    <row r="42" spans="1:4" x14ac:dyDescent="0.25">
      <c r="A42" s="123">
        <v>45914</v>
      </c>
      <c r="B42" s="124">
        <v>10</v>
      </c>
      <c r="C42" s="124" t="s">
        <v>27</v>
      </c>
      <c r="D42" s="125">
        <v>45915.886273148149</v>
      </c>
    </row>
    <row r="43" spans="1:4" x14ac:dyDescent="0.25">
      <c r="A43" s="123">
        <v>45915</v>
      </c>
      <c r="B43" s="124">
        <v>10</v>
      </c>
      <c r="C43" s="124" t="s">
        <v>27</v>
      </c>
      <c r="D43" s="125">
        <v>45915.886273148149</v>
      </c>
    </row>
    <row r="44" spans="1:4" hidden="1" x14ac:dyDescent="0.25">
      <c r="A44" s="123">
        <v>45911</v>
      </c>
      <c r="B44" s="124">
        <v>7</v>
      </c>
      <c r="C44" s="124" t="s">
        <v>27</v>
      </c>
      <c r="D44" s="125">
        <v>45915.886261574073</v>
      </c>
    </row>
    <row r="45" spans="1:4" x14ac:dyDescent="0.25">
      <c r="A45" s="123">
        <v>45901</v>
      </c>
      <c r="B45" s="124">
        <v>12</v>
      </c>
      <c r="C45" s="124" t="s">
        <v>27</v>
      </c>
      <c r="D45" s="125">
        <v>45915.886238425926</v>
      </c>
    </row>
    <row r="46" spans="1:4" hidden="1" x14ac:dyDescent="0.25">
      <c r="A46" s="123">
        <v>45911</v>
      </c>
      <c r="B46" s="124">
        <v>12</v>
      </c>
      <c r="C46" s="124" t="s">
        <v>27</v>
      </c>
      <c r="D46" s="125">
        <v>45915.886261574073</v>
      </c>
    </row>
    <row r="47" spans="1:4" x14ac:dyDescent="0.25">
      <c r="A47" s="123">
        <v>45902</v>
      </c>
      <c r="B47" s="124">
        <v>12</v>
      </c>
      <c r="C47" s="124" t="s">
        <v>27</v>
      </c>
      <c r="D47" s="125">
        <v>45915.886238425926</v>
      </c>
    </row>
    <row r="48" spans="1:4" hidden="1" x14ac:dyDescent="0.25">
      <c r="A48" s="123">
        <v>45912</v>
      </c>
      <c r="B48" s="124">
        <v>5</v>
      </c>
      <c r="C48" s="124" t="s">
        <v>37</v>
      </c>
      <c r="D48" s="125">
        <v>45915.886261574073</v>
      </c>
    </row>
    <row r="49" spans="1:4" x14ac:dyDescent="0.25">
      <c r="A49" s="123">
        <v>45903</v>
      </c>
      <c r="B49" s="124">
        <v>12</v>
      </c>
      <c r="C49" s="124" t="s">
        <v>27</v>
      </c>
      <c r="D49" s="125">
        <v>45915.886250000003</v>
      </c>
    </row>
    <row r="50" spans="1:4" hidden="1" x14ac:dyDescent="0.25">
      <c r="A50" s="123">
        <v>45912</v>
      </c>
      <c r="B50" s="124">
        <v>7</v>
      </c>
      <c r="C50" s="124" t="s">
        <v>27</v>
      </c>
      <c r="D50" s="125">
        <v>45915.886261574073</v>
      </c>
    </row>
    <row r="51" spans="1:4" x14ac:dyDescent="0.25">
      <c r="A51" s="126">
        <v>45904</v>
      </c>
      <c r="B51" s="124">
        <v>12</v>
      </c>
      <c r="C51" s="124" t="s">
        <v>27</v>
      </c>
      <c r="D51" s="127">
        <v>45915.886250000003</v>
      </c>
    </row>
    <row r="52" spans="1:4" hidden="1" x14ac:dyDescent="0.25">
      <c r="A52" s="123">
        <v>45912</v>
      </c>
      <c r="B52" s="124">
        <v>12</v>
      </c>
      <c r="C52" s="124" t="s">
        <v>27</v>
      </c>
      <c r="D52" s="125">
        <v>45915.886261574073</v>
      </c>
    </row>
    <row r="53" spans="1:4" x14ac:dyDescent="0.25">
      <c r="A53" s="123">
        <v>45905</v>
      </c>
      <c r="B53" s="124">
        <v>12</v>
      </c>
      <c r="C53" s="124" t="s">
        <v>27</v>
      </c>
      <c r="D53" s="125">
        <v>45915.886250000003</v>
      </c>
    </row>
    <row r="54" spans="1:4" hidden="1" x14ac:dyDescent="0.25">
      <c r="A54" s="123">
        <v>45913</v>
      </c>
      <c r="B54" s="124">
        <v>7</v>
      </c>
      <c r="C54" s="124" t="s">
        <v>27</v>
      </c>
      <c r="D54" s="125">
        <v>45915.886261574073</v>
      </c>
    </row>
    <row r="55" spans="1:4" x14ac:dyDescent="0.25">
      <c r="A55" s="123">
        <v>45906</v>
      </c>
      <c r="B55" s="124">
        <v>12</v>
      </c>
      <c r="C55" s="124" t="s">
        <v>27</v>
      </c>
      <c r="D55" s="125">
        <v>45915.886250000003</v>
      </c>
    </row>
    <row r="56" spans="1:4" hidden="1" x14ac:dyDescent="0.25">
      <c r="A56" s="123">
        <v>45913</v>
      </c>
      <c r="B56" s="124">
        <v>12</v>
      </c>
      <c r="C56" s="124" t="s">
        <v>27</v>
      </c>
      <c r="D56" s="125">
        <v>45915.886261574073</v>
      </c>
    </row>
    <row r="57" spans="1:4" x14ac:dyDescent="0.25">
      <c r="A57" s="123">
        <v>45907</v>
      </c>
      <c r="B57" s="124">
        <v>12</v>
      </c>
      <c r="C57" s="124" t="s">
        <v>27</v>
      </c>
      <c r="D57" s="125">
        <v>45915.886250000003</v>
      </c>
    </row>
    <row r="58" spans="1:4" hidden="1" x14ac:dyDescent="0.25">
      <c r="A58" s="123">
        <v>45914</v>
      </c>
      <c r="B58" s="124">
        <v>7</v>
      </c>
      <c r="C58" s="124" t="s">
        <v>27</v>
      </c>
      <c r="D58" s="125">
        <v>45915.886261574073</v>
      </c>
    </row>
    <row r="59" spans="1:4" x14ac:dyDescent="0.25">
      <c r="A59" s="123">
        <v>45908</v>
      </c>
      <c r="B59" s="124">
        <v>12</v>
      </c>
      <c r="C59" s="124" t="s">
        <v>27</v>
      </c>
      <c r="D59" s="125">
        <v>45915.886250000003</v>
      </c>
    </row>
    <row r="60" spans="1:4" hidden="1" x14ac:dyDescent="0.25">
      <c r="A60" s="123">
        <v>45914</v>
      </c>
      <c r="B60" s="124">
        <v>12</v>
      </c>
      <c r="C60" s="124" t="s">
        <v>27</v>
      </c>
      <c r="D60" s="125">
        <v>45915.886273148149</v>
      </c>
    </row>
    <row r="61" spans="1:4" x14ac:dyDescent="0.25">
      <c r="A61" s="123">
        <v>45909</v>
      </c>
      <c r="B61" s="124">
        <v>12</v>
      </c>
      <c r="C61" s="124" t="s">
        <v>27</v>
      </c>
      <c r="D61" s="125">
        <v>45915.886261574073</v>
      </c>
    </row>
    <row r="62" spans="1:4" hidden="1" x14ac:dyDescent="0.25">
      <c r="A62" s="123">
        <v>45915</v>
      </c>
      <c r="B62" s="124">
        <v>7</v>
      </c>
      <c r="C62" s="124" t="s">
        <v>27</v>
      </c>
      <c r="D62" s="125">
        <v>45915.886273148149</v>
      </c>
    </row>
    <row r="63" spans="1:4" x14ac:dyDescent="0.25">
      <c r="A63" s="123">
        <v>45910</v>
      </c>
      <c r="B63" s="124">
        <v>12</v>
      </c>
      <c r="C63" s="124" t="s">
        <v>27</v>
      </c>
      <c r="D63" s="125">
        <v>45915.886261574073</v>
      </c>
    </row>
    <row r="64" spans="1:4" hidden="1" x14ac:dyDescent="0.25">
      <c r="A64" s="123">
        <v>45915</v>
      </c>
      <c r="B64" s="124">
        <v>12</v>
      </c>
      <c r="C64" s="124" t="s">
        <v>27</v>
      </c>
      <c r="D64" s="125">
        <v>45915.886273148149</v>
      </c>
    </row>
    <row r="65" spans="1:4" x14ac:dyDescent="0.25">
      <c r="A65" s="123"/>
      <c r="B65" s="124"/>
      <c r="C65" s="124"/>
      <c r="D65" s="125"/>
    </row>
    <row r="66" spans="1:4" hidden="1" x14ac:dyDescent="0.25">
      <c r="A66" s="123"/>
      <c r="B66" s="124"/>
      <c r="C66" s="124"/>
      <c r="D66" s="125"/>
    </row>
    <row r="67" spans="1:4" x14ac:dyDescent="0.25">
      <c r="A67" s="123"/>
      <c r="B67" s="124"/>
      <c r="C67" s="124"/>
      <c r="D67" s="125"/>
    </row>
    <row r="68" spans="1:4" hidden="1" x14ac:dyDescent="0.25">
      <c r="A68" s="123"/>
      <c r="B68" s="124"/>
      <c r="C68" s="124"/>
      <c r="D68" s="125"/>
    </row>
    <row r="69" spans="1:4" x14ac:dyDescent="0.25">
      <c r="A69" s="126"/>
      <c r="B69" s="124"/>
      <c r="C69" s="124"/>
      <c r="D69" s="127"/>
    </row>
    <row r="70" spans="1:4" hidden="1" x14ac:dyDescent="0.25">
      <c r="A70" s="123"/>
      <c r="B70" s="124"/>
      <c r="C70" s="124"/>
      <c r="D70" s="125"/>
    </row>
    <row r="71" spans="1:4" x14ac:dyDescent="0.25">
      <c r="A71" s="123"/>
      <c r="B71" s="124"/>
      <c r="C71" s="124"/>
      <c r="D71" s="125"/>
    </row>
    <row r="72" spans="1:4" hidden="1" x14ac:dyDescent="0.25">
      <c r="A72" s="126"/>
      <c r="B72" s="124"/>
      <c r="C72" s="124"/>
      <c r="D72" s="127"/>
    </row>
    <row r="73" spans="1:4" x14ac:dyDescent="0.25">
      <c r="A73" s="123"/>
      <c r="B73" s="124"/>
      <c r="C73" s="124"/>
      <c r="D73" s="125"/>
    </row>
    <row r="74" spans="1:4" x14ac:dyDescent="0.25">
      <c r="A74" s="123"/>
      <c r="B74" s="124"/>
      <c r="C74" s="124"/>
      <c r="D74" s="125"/>
    </row>
    <row r="75" spans="1:4" x14ac:dyDescent="0.25">
      <c r="A75" s="123"/>
      <c r="B75" s="124"/>
      <c r="C75" s="124"/>
      <c r="D75" s="125"/>
    </row>
    <row r="76" spans="1:4" x14ac:dyDescent="0.25">
      <c r="A76" s="123"/>
      <c r="B76" s="124"/>
      <c r="C76" s="124"/>
      <c r="D76" s="125"/>
    </row>
    <row r="77" spans="1:4" x14ac:dyDescent="0.25">
      <c r="A77" s="123"/>
      <c r="B77" s="124"/>
      <c r="C77" s="124"/>
      <c r="D77" s="125"/>
    </row>
    <row r="78" spans="1:4" hidden="1" x14ac:dyDescent="0.25">
      <c r="A78" s="123"/>
      <c r="B78" s="124"/>
      <c r="C78" s="124"/>
      <c r="D78" s="125"/>
    </row>
    <row r="79" spans="1:4" x14ac:dyDescent="0.25">
      <c r="A79" s="123"/>
      <c r="B79" s="124"/>
      <c r="C79" s="124"/>
      <c r="D79" s="125"/>
    </row>
    <row r="80" spans="1:4" x14ac:dyDescent="0.25">
      <c r="A80" s="123"/>
      <c r="B80" s="124"/>
      <c r="C80" s="124"/>
      <c r="D80" s="125"/>
    </row>
    <row r="81" spans="1:4" hidden="1" x14ac:dyDescent="0.25">
      <c r="A81" s="123"/>
      <c r="B81" s="124"/>
      <c r="C81" s="124"/>
      <c r="D81" s="125"/>
    </row>
    <row r="82" spans="1:4" x14ac:dyDescent="0.25">
      <c r="A82" s="123"/>
      <c r="B82" s="124"/>
      <c r="C82" s="124"/>
      <c r="D82" s="125"/>
    </row>
    <row r="83" spans="1:4" x14ac:dyDescent="0.25">
      <c r="A83" s="123"/>
      <c r="B83" s="124"/>
      <c r="C83" s="124"/>
      <c r="D83" s="125"/>
    </row>
    <row r="84" spans="1:4" hidden="1" x14ac:dyDescent="0.25">
      <c r="A84" s="123"/>
      <c r="B84" s="124"/>
      <c r="C84" s="124"/>
      <c r="D84" s="125"/>
    </row>
    <row r="85" spans="1:4" x14ac:dyDescent="0.25">
      <c r="A85" s="123"/>
      <c r="B85" s="124"/>
      <c r="C85" s="124"/>
      <c r="D85" s="125"/>
    </row>
    <row r="86" spans="1:4" x14ac:dyDescent="0.25">
      <c r="A86" s="123"/>
      <c r="B86" s="124"/>
      <c r="C86" s="124"/>
      <c r="D86" s="125"/>
    </row>
    <row r="87" spans="1:4" x14ac:dyDescent="0.25">
      <c r="A87" s="123"/>
      <c r="B87" s="124"/>
      <c r="C87" s="124"/>
      <c r="D87" s="125"/>
    </row>
    <row r="88" spans="1:4" x14ac:dyDescent="0.25">
      <c r="A88" s="123"/>
      <c r="B88" s="124"/>
      <c r="C88" s="124"/>
      <c r="D88" s="125"/>
    </row>
    <row r="89" spans="1:4" hidden="1" x14ac:dyDescent="0.25">
      <c r="A89" s="123"/>
      <c r="B89" s="124"/>
      <c r="C89" s="124"/>
      <c r="D89" s="125"/>
    </row>
    <row r="90" spans="1:4" x14ac:dyDescent="0.25">
      <c r="A90" s="123"/>
      <c r="B90" s="124"/>
      <c r="C90" s="124"/>
      <c r="D90" s="125"/>
    </row>
    <row r="91" spans="1:4" x14ac:dyDescent="0.25">
      <c r="A91" s="123"/>
      <c r="B91" s="124"/>
      <c r="C91" s="124"/>
      <c r="D91" s="125"/>
    </row>
    <row r="92" spans="1:4" hidden="1" x14ac:dyDescent="0.25">
      <c r="A92" s="123"/>
      <c r="B92" s="124"/>
      <c r="C92" s="124"/>
      <c r="D92" s="125"/>
    </row>
    <row r="93" spans="1:4" x14ac:dyDescent="0.25">
      <c r="A93" s="123"/>
      <c r="B93" s="124"/>
      <c r="C93" s="124"/>
      <c r="D93" s="125"/>
    </row>
    <row r="94" spans="1:4" x14ac:dyDescent="0.25">
      <c r="A94" s="123"/>
      <c r="B94" s="124"/>
      <c r="C94" s="124"/>
      <c r="D94" s="125"/>
    </row>
    <row r="95" spans="1:4" x14ac:dyDescent="0.25">
      <c r="A95" s="123"/>
      <c r="B95" s="124"/>
      <c r="C95" s="124"/>
      <c r="D95" s="125"/>
    </row>
    <row r="96" spans="1:4" hidden="1" x14ac:dyDescent="0.25">
      <c r="A96" s="123"/>
      <c r="B96" s="124"/>
      <c r="C96" s="124"/>
      <c r="D96" s="125"/>
    </row>
    <row r="97" spans="1:4" hidden="1" x14ac:dyDescent="0.25">
      <c r="A97" s="126"/>
      <c r="B97" s="124"/>
      <c r="C97" s="124"/>
      <c r="D97" s="127"/>
    </row>
    <row r="98" spans="1:4" hidden="1" x14ac:dyDescent="0.25">
      <c r="A98" s="123"/>
      <c r="B98" s="124"/>
      <c r="C98" s="124"/>
      <c r="D98" s="125"/>
    </row>
    <row r="99" spans="1:4" hidden="1" x14ac:dyDescent="0.25">
      <c r="A99" s="123"/>
      <c r="B99" s="124"/>
      <c r="C99" s="124"/>
      <c r="D99" s="125"/>
    </row>
    <row r="100" spans="1:4" hidden="1" x14ac:dyDescent="0.25">
      <c r="A100" s="123"/>
      <c r="B100" s="124"/>
      <c r="C100" s="124"/>
      <c r="D100" s="125"/>
    </row>
    <row r="101" spans="1:4" hidden="1" x14ac:dyDescent="0.25">
      <c r="A101" s="123"/>
      <c r="B101" s="124"/>
      <c r="C101" s="124"/>
      <c r="D101" s="125"/>
    </row>
    <row r="102" spans="1:4" hidden="1" x14ac:dyDescent="0.25">
      <c r="A102" s="123"/>
      <c r="B102" s="124"/>
      <c r="C102" s="124"/>
      <c r="D102" s="125"/>
    </row>
    <row r="103" spans="1:4" hidden="1" x14ac:dyDescent="0.25">
      <c r="A103" s="123"/>
      <c r="B103" s="124"/>
      <c r="C103" s="124"/>
      <c r="D103" s="125"/>
    </row>
    <row r="104" spans="1:4" hidden="1" x14ac:dyDescent="0.25">
      <c r="A104" s="123"/>
      <c r="B104" s="124"/>
      <c r="C104" s="124"/>
      <c r="D104" s="125"/>
    </row>
    <row r="105" spans="1:4" hidden="1" x14ac:dyDescent="0.25">
      <c r="A105" s="123"/>
      <c r="B105" s="124"/>
      <c r="C105" s="124"/>
      <c r="D105" s="125"/>
    </row>
    <row r="106" spans="1:4" hidden="1" x14ac:dyDescent="0.25">
      <c r="A106" s="123"/>
      <c r="B106" s="124"/>
      <c r="C106" s="124"/>
      <c r="D106" s="125"/>
    </row>
    <row r="107" spans="1:4" hidden="1" x14ac:dyDescent="0.25">
      <c r="A107" s="123"/>
      <c r="B107" s="124"/>
      <c r="C107" s="124"/>
      <c r="D107" s="125"/>
    </row>
    <row r="108" spans="1:4" hidden="1" x14ac:dyDescent="0.25">
      <c r="A108" s="123"/>
      <c r="B108" s="124"/>
      <c r="C108" s="124"/>
      <c r="D108" s="125"/>
    </row>
    <row r="109" spans="1:4" hidden="1" x14ac:dyDescent="0.25">
      <c r="A109" s="123"/>
      <c r="B109" s="124"/>
      <c r="C109" s="124"/>
      <c r="D109" s="125"/>
    </row>
    <row r="110" spans="1:4" hidden="1" x14ac:dyDescent="0.25">
      <c r="A110" s="123"/>
      <c r="B110" s="124"/>
      <c r="C110" s="124"/>
      <c r="D110" s="125"/>
    </row>
    <row r="111" spans="1:4" hidden="1" x14ac:dyDescent="0.25">
      <c r="A111" s="123"/>
      <c r="B111" s="124"/>
      <c r="C111" s="124"/>
      <c r="D111" s="125"/>
    </row>
    <row r="112" spans="1:4" hidden="1" x14ac:dyDescent="0.25">
      <c r="A112" s="126"/>
      <c r="B112" s="124"/>
      <c r="C112" s="124"/>
      <c r="D112" s="127"/>
    </row>
    <row r="113" spans="1:4" hidden="1" x14ac:dyDescent="0.25">
      <c r="A113" s="123"/>
      <c r="B113" s="124"/>
      <c r="C113" s="124"/>
      <c r="D113" s="125"/>
    </row>
    <row r="114" spans="1:4" hidden="1" x14ac:dyDescent="0.25">
      <c r="A114" s="123"/>
      <c r="B114" s="124"/>
      <c r="C114" s="124"/>
      <c r="D114" s="125"/>
    </row>
    <row r="115" spans="1:4" hidden="1" x14ac:dyDescent="0.25">
      <c r="A115" s="126"/>
      <c r="B115" s="124"/>
      <c r="C115" s="124"/>
      <c r="D115" s="127"/>
    </row>
    <row r="116" spans="1:4" hidden="1" x14ac:dyDescent="0.25">
      <c r="A116" s="123"/>
      <c r="B116" s="124"/>
      <c r="C116" s="124"/>
      <c r="D116" s="125"/>
    </row>
    <row r="117" spans="1:4" hidden="1" x14ac:dyDescent="0.25">
      <c r="A117" s="123"/>
      <c r="B117" s="124"/>
      <c r="C117" s="124"/>
      <c r="D117" s="125"/>
    </row>
  </sheetData>
  <sortState xmlns:xlrd2="http://schemas.microsoft.com/office/spreadsheetml/2017/richdata2" ref="A2:D63">
    <sortCondition ref="B2:B64"/>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MissingDataSheet">
                <anchor>
                  <from>
                    <xdr:col>10</xdr:col>
                    <xdr:colOff>209550</xdr:colOff>
                    <xdr:row>1</xdr:row>
                    <xdr:rowOff>95250</xdr:rowOff>
                  </from>
                  <to>
                    <xdr:col>12</xdr:col>
                    <xdr:colOff>571500</xdr:colOff>
                    <xdr:row>4</xdr:row>
                    <xdr:rowOff>114300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EAD79-29B3-4D70-B741-D9AB87E7ABBE}">
  <sheetPr codeName="Sheet11"/>
  <dimension ref="A1:I29"/>
  <sheetViews>
    <sheetView zoomScale="85" zoomScaleNormal="85" workbookViewId="0">
      <selection activeCell="N10" sqref="N10"/>
    </sheetView>
  </sheetViews>
  <sheetFormatPr defaultRowHeight="15" x14ac:dyDescent="0.25"/>
  <cols>
    <col min="2" max="2" width="16" customWidth="1"/>
    <col min="3" max="3" width="16.28515625" customWidth="1"/>
    <col min="4" max="4" width="5" customWidth="1"/>
    <col min="5" max="5" width="15.7109375" customWidth="1"/>
    <col min="6" max="6" width="16.7109375" customWidth="1"/>
  </cols>
  <sheetData>
    <row r="1" spans="1:9" ht="23.25" x14ac:dyDescent="0.35">
      <c r="A1" s="89"/>
      <c r="B1" s="89" t="s">
        <v>22</v>
      </c>
      <c r="C1" s="89"/>
      <c r="D1" s="89"/>
      <c r="E1" s="89"/>
      <c r="F1" s="89"/>
      <c r="G1" s="89"/>
    </row>
    <row r="2" spans="1:9" s="31" customFormat="1" ht="57.75" customHeight="1" x14ac:dyDescent="0.4">
      <c r="A2" s="94"/>
      <c r="B2" s="95" t="s">
        <v>32</v>
      </c>
      <c r="C2" s="95" t="s">
        <v>64</v>
      </c>
      <c r="D2" s="96"/>
      <c r="E2" s="95" t="s">
        <v>32</v>
      </c>
      <c r="F2" s="95" t="s">
        <v>64</v>
      </c>
      <c r="G2" s="94"/>
      <c r="H2" s="94"/>
      <c r="I2" s="94"/>
    </row>
    <row r="3" spans="1:9" ht="26.25" x14ac:dyDescent="0.4">
      <c r="A3" s="90"/>
      <c r="B3" s="91">
        <v>5</v>
      </c>
      <c r="C3" s="92">
        <v>37.5</v>
      </c>
      <c r="D3" s="90"/>
      <c r="E3" s="91">
        <v>7.5</v>
      </c>
      <c r="F3" s="92">
        <v>56.25</v>
      </c>
      <c r="G3" s="90"/>
      <c r="H3" s="90"/>
      <c r="I3" s="90"/>
    </row>
    <row r="4" spans="1:9" ht="26.25" x14ac:dyDescent="0.4">
      <c r="A4" s="90"/>
      <c r="B4" s="91">
        <v>5.0999999999999996</v>
      </c>
      <c r="C4" s="92">
        <v>38.25</v>
      </c>
      <c r="D4" s="90"/>
      <c r="E4" s="91">
        <v>7.6</v>
      </c>
      <c r="F4" s="92">
        <v>57</v>
      </c>
      <c r="G4" s="90"/>
      <c r="H4" s="90"/>
      <c r="I4" s="90"/>
    </row>
    <row r="5" spans="1:9" ht="26.25" x14ac:dyDescent="0.4">
      <c r="A5" s="90"/>
      <c r="B5" s="91">
        <v>5.2</v>
      </c>
      <c r="C5" s="92">
        <v>39</v>
      </c>
      <c r="D5" s="90"/>
      <c r="E5" s="91">
        <v>7.7</v>
      </c>
      <c r="F5" s="92">
        <v>57.75</v>
      </c>
      <c r="G5" s="90"/>
      <c r="H5" s="90"/>
      <c r="I5" s="90"/>
    </row>
    <row r="6" spans="1:9" ht="26.25" x14ac:dyDescent="0.4">
      <c r="A6" s="90"/>
      <c r="B6" s="91">
        <v>5.3</v>
      </c>
      <c r="C6" s="92">
        <v>39.75</v>
      </c>
      <c r="D6" s="90"/>
      <c r="E6" s="91">
        <v>7.8</v>
      </c>
      <c r="F6" s="92">
        <v>58.5</v>
      </c>
      <c r="G6" s="90"/>
      <c r="H6" s="90"/>
      <c r="I6" s="90"/>
    </row>
    <row r="7" spans="1:9" ht="26.25" x14ac:dyDescent="0.4">
      <c r="A7" s="90"/>
      <c r="B7" s="91">
        <v>5.4</v>
      </c>
      <c r="C7" s="92">
        <v>40.5</v>
      </c>
      <c r="D7" s="90"/>
      <c r="E7" s="91">
        <v>7.9</v>
      </c>
      <c r="F7" s="92">
        <v>59.25</v>
      </c>
      <c r="G7" s="90"/>
      <c r="H7" s="90"/>
      <c r="I7" s="90"/>
    </row>
    <row r="8" spans="1:9" ht="26.25" x14ac:dyDescent="0.4">
      <c r="A8" s="90"/>
      <c r="B8" s="91">
        <v>5.5</v>
      </c>
      <c r="C8" s="92">
        <v>41.25</v>
      </c>
      <c r="D8" s="90"/>
      <c r="E8" s="91">
        <v>8</v>
      </c>
      <c r="F8" s="92">
        <v>60</v>
      </c>
      <c r="G8" s="90"/>
      <c r="H8" s="90"/>
      <c r="I8" s="90"/>
    </row>
    <row r="9" spans="1:9" ht="26.25" x14ac:dyDescent="0.4">
      <c r="A9" s="90"/>
      <c r="B9" s="91">
        <v>5.6</v>
      </c>
      <c r="C9" s="92">
        <v>42</v>
      </c>
      <c r="D9" s="90"/>
      <c r="E9" s="91">
        <v>8.1</v>
      </c>
      <c r="F9" s="92">
        <v>60.75</v>
      </c>
      <c r="G9" s="90"/>
      <c r="H9" s="90"/>
      <c r="I9" s="90"/>
    </row>
    <row r="10" spans="1:9" ht="26.25" x14ac:dyDescent="0.4">
      <c r="A10" s="90"/>
      <c r="B10" s="91">
        <v>5.7</v>
      </c>
      <c r="C10" s="92">
        <v>42.75</v>
      </c>
      <c r="D10" s="90"/>
      <c r="E10" s="91">
        <v>8.1999999999999993</v>
      </c>
      <c r="F10" s="92">
        <v>61.5</v>
      </c>
      <c r="G10" s="90"/>
      <c r="H10" s="90"/>
      <c r="I10" s="90"/>
    </row>
    <row r="11" spans="1:9" ht="26.25" x14ac:dyDescent="0.4">
      <c r="A11" s="90"/>
      <c r="B11" s="91">
        <v>5.8</v>
      </c>
      <c r="C11" s="92">
        <v>43.5</v>
      </c>
      <c r="D11" s="90"/>
      <c r="E11" s="91">
        <v>8.3000000000000007</v>
      </c>
      <c r="F11" s="92">
        <v>62.25</v>
      </c>
      <c r="G11" s="90"/>
      <c r="H11" s="90"/>
      <c r="I11" s="90"/>
    </row>
    <row r="12" spans="1:9" ht="26.25" x14ac:dyDescent="0.4">
      <c r="A12" s="90"/>
      <c r="B12" s="91">
        <v>5.9</v>
      </c>
      <c r="C12" s="92">
        <v>44.25</v>
      </c>
      <c r="D12" s="90"/>
      <c r="E12" s="91">
        <v>8.4</v>
      </c>
      <c r="F12" s="92">
        <v>63</v>
      </c>
      <c r="G12" s="90"/>
      <c r="H12" s="90"/>
      <c r="I12" s="90"/>
    </row>
    <row r="13" spans="1:9" ht="26.25" x14ac:dyDescent="0.4">
      <c r="A13" s="90"/>
      <c r="B13" s="91">
        <v>6</v>
      </c>
      <c r="C13" s="92">
        <v>45</v>
      </c>
      <c r="D13" s="90"/>
      <c r="E13" s="91">
        <v>8.5</v>
      </c>
      <c r="F13" s="92">
        <v>63.75</v>
      </c>
      <c r="G13" s="90"/>
      <c r="H13" s="90"/>
      <c r="I13" s="90"/>
    </row>
    <row r="14" spans="1:9" ht="26.25" x14ac:dyDescent="0.4">
      <c r="A14" s="90"/>
      <c r="B14" s="91">
        <v>6.1</v>
      </c>
      <c r="C14" s="92">
        <v>45.75</v>
      </c>
      <c r="D14" s="90"/>
      <c r="E14" s="91">
        <v>8.6</v>
      </c>
      <c r="F14" s="92">
        <v>64.5</v>
      </c>
      <c r="G14" s="90"/>
      <c r="H14" s="90"/>
      <c r="I14" s="90"/>
    </row>
    <row r="15" spans="1:9" ht="26.25" x14ac:dyDescent="0.4">
      <c r="A15" s="90"/>
      <c r="B15" s="91">
        <v>6.2</v>
      </c>
      <c r="C15" s="92">
        <v>46.5</v>
      </c>
      <c r="D15" s="90"/>
      <c r="E15" s="91">
        <v>8.6999999999999993</v>
      </c>
      <c r="F15" s="92">
        <v>65.25</v>
      </c>
      <c r="G15" s="90"/>
      <c r="H15" s="90"/>
      <c r="I15" s="90"/>
    </row>
    <row r="16" spans="1:9" ht="26.25" x14ac:dyDescent="0.4">
      <c r="A16" s="90"/>
      <c r="B16" s="91">
        <v>6.3</v>
      </c>
      <c r="C16" s="92">
        <v>47.25</v>
      </c>
      <c r="D16" s="90"/>
      <c r="E16" s="91">
        <v>8.8000000000000007</v>
      </c>
      <c r="F16" s="92">
        <v>66</v>
      </c>
      <c r="G16" s="90"/>
      <c r="H16" s="90"/>
      <c r="I16" s="90"/>
    </row>
    <row r="17" spans="1:9" ht="26.25" x14ac:dyDescent="0.4">
      <c r="A17" s="90"/>
      <c r="B17" s="91">
        <v>6.4</v>
      </c>
      <c r="C17" s="92">
        <v>48</v>
      </c>
      <c r="D17" s="90"/>
      <c r="E17" s="91">
        <v>8.9</v>
      </c>
      <c r="F17" s="92">
        <v>66.75</v>
      </c>
      <c r="G17" s="90"/>
      <c r="H17" s="90"/>
      <c r="I17" s="90"/>
    </row>
    <row r="18" spans="1:9" ht="26.25" x14ac:dyDescent="0.4">
      <c r="A18" s="90"/>
      <c r="B18" s="91">
        <v>6.5</v>
      </c>
      <c r="C18" s="92">
        <v>48.75</v>
      </c>
      <c r="D18" s="90"/>
      <c r="E18" s="91">
        <v>9</v>
      </c>
      <c r="F18" s="92">
        <v>67.5</v>
      </c>
      <c r="G18" s="90"/>
      <c r="H18" s="90"/>
      <c r="I18" s="90"/>
    </row>
    <row r="19" spans="1:9" ht="26.25" x14ac:dyDescent="0.4">
      <c r="A19" s="90"/>
      <c r="B19" s="91">
        <v>6.6</v>
      </c>
      <c r="C19" s="92">
        <v>49.5</v>
      </c>
      <c r="D19" s="90"/>
      <c r="E19" s="91">
        <v>9.1</v>
      </c>
      <c r="F19" s="92">
        <v>68.25</v>
      </c>
      <c r="G19" s="90"/>
      <c r="H19" s="90"/>
      <c r="I19" s="90"/>
    </row>
    <row r="20" spans="1:9" ht="26.25" x14ac:dyDescent="0.4">
      <c r="A20" s="90"/>
      <c r="B20" s="91">
        <v>6.7</v>
      </c>
      <c r="C20" s="92">
        <v>50.25</v>
      </c>
      <c r="D20" s="90"/>
      <c r="E20" s="91">
        <v>9.1999999999999993</v>
      </c>
      <c r="F20" s="92">
        <v>69</v>
      </c>
      <c r="G20" s="90"/>
      <c r="H20" s="90"/>
      <c r="I20" s="90"/>
    </row>
    <row r="21" spans="1:9" ht="26.25" x14ac:dyDescent="0.4">
      <c r="A21" s="90"/>
      <c r="B21" s="91">
        <v>6.8</v>
      </c>
      <c r="C21" s="92">
        <v>51</v>
      </c>
      <c r="D21" s="90"/>
      <c r="E21" s="91">
        <v>9.3000000000000007</v>
      </c>
      <c r="F21" s="92">
        <v>69.75</v>
      </c>
      <c r="G21" s="90"/>
      <c r="H21" s="90"/>
      <c r="I21" s="90"/>
    </row>
    <row r="22" spans="1:9" ht="26.25" x14ac:dyDescent="0.4">
      <c r="A22" s="90"/>
      <c r="B22" s="91">
        <v>6.9</v>
      </c>
      <c r="C22" s="92">
        <v>51.75</v>
      </c>
      <c r="D22" s="90"/>
      <c r="E22" s="91">
        <v>9.4</v>
      </c>
      <c r="F22" s="92">
        <v>70.5</v>
      </c>
      <c r="G22" s="90"/>
      <c r="H22" s="90"/>
      <c r="I22" s="90"/>
    </row>
    <row r="23" spans="1:9" ht="26.25" x14ac:dyDescent="0.4">
      <c r="A23" s="90"/>
      <c r="B23" s="91">
        <v>7</v>
      </c>
      <c r="C23" s="92">
        <v>52.5</v>
      </c>
      <c r="D23" s="90"/>
      <c r="E23" s="91">
        <v>9.5</v>
      </c>
      <c r="F23" s="92">
        <v>71.25</v>
      </c>
      <c r="G23" s="90"/>
      <c r="H23" s="90"/>
      <c r="I23" s="90"/>
    </row>
    <row r="24" spans="1:9" ht="26.25" x14ac:dyDescent="0.4">
      <c r="A24" s="90"/>
      <c r="B24" s="91">
        <v>7.1</v>
      </c>
      <c r="C24" s="92">
        <v>53.25</v>
      </c>
      <c r="D24" s="90"/>
      <c r="E24" s="91">
        <v>9.6</v>
      </c>
      <c r="F24" s="92">
        <v>72</v>
      </c>
      <c r="G24" s="90"/>
      <c r="H24" s="90"/>
      <c r="I24" s="90"/>
    </row>
    <row r="25" spans="1:9" ht="26.25" x14ac:dyDescent="0.4">
      <c r="A25" s="90"/>
      <c r="B25" s="91">
        <v>7.2</v>
      </c>
      <c r="C25" s="92">
        <v>54</v>
      </c>
      <c r="D25" s="90"/>
      <c r="E25" s="91">
        <v>9.6999999999999993</v>
      </c>
      <c r="F25" s="92">
        <v>72.75</v>
      </c>
      <c r="G25" s="90"/>
      <c r="H25" s="90"/>
      <c r="I25" s="90"/>
    </row>
    <row r="26" spans="1:9" ht="26.25" x14ac:dyDescent="0.4">
      <c r="A26" s="90"/>
      <c r="B26" s="91">
        <v>7.3</v>
      </c>
      <c r="C26" s="92">
        <v>54.75</v>
      </c>
      <c r="D26" s="90"/>
      <c r="E26" s="91">
        <v>9.8000000000000007</v>
      </c>
      <c r="F26" s="92">
        <v>73.5</v>
      </c>
      <c r="G26" s="90"/>
      <c r="H26" s="90"/>
      <c r="I26" s="90"/>
    </row>
    <row r="27" spans="1:9" ht="26.25" x14ac:dyDescent="0.4">
      <c r="A27" s="90"/>
      <c r="B27" s="91">
        <v>7.4</v>
      </c>
      <c r="C27" s="92">
        <v>55.5</v>
      </c>
      <c r="D27" s="90"/>
      <c r="E27" s="91">
        <v>9.9</v>
      </c>
      <c r="F27" s="92">
        <v>74.25</v>
      </c>
      <c r="G27" s="90"/>
      <c r="H27" s="90"/>
      <c r="I27" s="90"/>
    </row>
    <row r="28" spans="1:9" ht="26.25" x14ac:dyDescent="0.4">
      <c r="A28" s="90"/>
      <c r="B28" s="93"/>
      <c r="C28" s="93"/>
      <c r="D28" s="90"/>
      <c r="E28" s="91">
        <v>10</v>
      </c>
      <c r="F28" s="92">
        <v>75</v>
      </c>
      <c r="G28" s="90"/>
      <c r="H28" s="90"/>
      <c r="I28" s="90"/>
    </row>
    <row r="29" spans="1:9" ht="26.25" x14ac:dyDescent="0.4">
      <c r="A29" s="90"/>
      <c r="B29" s="90"/>
      <c r="C29" s="90"/>
      <c r="D29" s="90"/>
      <c r="E29" s="90"/>
      <c r="F29" s="90"/>
      <c r="G29" s="90"/>
      <c r="H29" s="90"/>
      <c r="I29" s="90"/>
    </row>
  </sheetData>
  <pageMargins left="0.25" right="0.25"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50B7F-9356-420B-BF4B-02F59B4492F9}">
  <sheetPr codeName="Sheet10"/>
  <dimension ref="A1:D33"/>
  <sheetViews>
    <sheetView workbookViewId="0">
      <selection activeCell="H8" sqref="H8"/>
    </sheetView>
  </sheetViews>
  <sheetFormatPr defaultRowHeight="15" x14ac:dyDescent="0.25"/>
  <cols>
    <col min="1" max="4" width="15" customWidth="1"/>
  </cols>
  <sheetData>
    <row r="1" spans="1:4" ht="15.75" x14ac:dyDescent="0.25">
      <c r="A1" s="152" t="s">
        <v>99</v>
      </c>
      <c r="B1" s="152" t="s">
        <v>100</v>
      </c>
      <c r="C1" s="152" t="s">
        <v>24</v>
      </c>
      <c r="D1" s="152" t="s">
        <v>25</v>
      </c>
    </row>
    <row r="2" spans="1:4" x14ac:dyDescent="0.25">
      <c r="A2" s="37">
        <v>45931</v>
      </c>
      <c r="B2" s="37">
        <v>45945</v>
      </c>
      <c r="C2" s="105">
        <v>62.400000000000006</v>
      </c>
      <c r="D2" s="39">
        <f t="shared" ref="D2:D33" si="0">IFERROR(IF(C2&lt;&gt;"",C2*70, ""), "")</f>
        <v>4368</v>
      </c>
    </row>
    <row r="3" spans="1:4" x14ac:dyDescent="0.25">
      <c r="A3" s="37">
        <v>45946</v>
      </c>
      <c r="B3" s="37">
        <v>45961</v>
      </c>
      <c r="C3" s="105">
        <v>65.400000000000006</v>
      </c>
      <c r="D3" s="39">
        <f t="shared" si="0"/>
        <v>4578</v>
      </c>
    </row>
    <row r="4" spans="1:4" x14ac:dyDescent="0.25">
      <c r="A4" s="37">
        <v>45962</v>
      </c>
      <c r="B4" s="37">
        <v>45976</v>
      </c>
      <c r="C4" s="105">
        <v>64</v>
      </c>
      <c r="D4" s="39">
        <f t="shared" si="0"/>
        <v>4480</v>
      </c>
    </row>
    <row r="5" spans="1:4" x14ac:dyDescent="0.25">
      <c r="A5" s="37">
        <v>45977</v>
      </c>
      <c r="B5" s="37">
        <v>45991</v>
      </c>
      <c r="C5" s="105">
        <v>69.7</v>
      </c>
      <c r="D5" s="39">
        <f t="shared" si="0"/>
        <v>4879</v>
      </c>
    </row>
    <row r="6" spans="1:4" x14ac:dyDescent="0.25">
      <c r="A6" s="37"/>
      <c r="B6" s="37"/>
      <c r="C6" s="105"/>
      <c r="D6" s="39" t="str">
        <f t="shared" si="0"/>
        <v/>
      </c>
    </row>
    <row r="7" spans="1:4" x14ac:dyDescent="0.25">
      <c r="A7" s="37"/>
      <c r="B7" s="37"/>
      <c r="C7" s="105"/>
      <c r="D7" s="39" t="str">
        <f t="shared" si="0"/>
        <v/>
      </c>
    </row>
    <row r="8" spans="1:4" x14ac:dyDescent="0.25">
      <c r="A8" s="37"/>
      <c r="B8" s="37"/>
      <c r="C8" s="105"/>
      <c r="D8" s="39" t="str">
        <f t="shared" si="0"/>
        <v/>
      </c>
    </row>
    <row r="9" spans="1:4" x14ac:dyDescent="0.25">
      <c r="A9" s="37"/>
      <c r="B9" s="37"/>
      <c r="C9" s="105"/>
      <c r="D9" s="39" t="str">
        <f t="shared" si="0"/>
        <v/>
      </c>
    </row>
    <row r="10" spans="1:4" x14ac:dyDescent="0.25">
      <c r="A10" s="37"/>
      <c r="B10" s="37"/>
      <c r="C10" s="105"/>
      <c r="D10" s="39" t="str">
        <f t="shared" si="0"/>
        <v/>
      </c>
    </row>
    <row r="11" spans="1:4" x14ac:dyDescent="0.25">
      <c r="A11" s="37"/>
      <c r="B11" s="37"/>
      <c r="C11" s="105"/>
      <c r="D11" s="39" t="str">
        <f t="shared" si="0"/>
        <v/>
      </c>
    </row>
    <row r="12" spans="1:4" x14ac:dyDescent="0.25">
      <c r="A12" s="37"/>
      <c r="B12" s="37"/>
      <c r="C12" s="105"/>
      <c r="D12" s="39" t="str">
        <f t="shared" si="0"/>
        <v/>
      </c>
    </row>
    <row r="13" spans="1:4" x14ac:dyDescent="0.25">
      <c r="A13" s="37"/>
      <c r="B13" s="37"/>
      <c r="C13" s="105"/>
      <c r="D13" s="39" t="str">
        <f t="shared" si="0"/>
        <v/>
      </c>
    </row>
    <row r="14" spans="1:4" x14ac:dyDescent="0.25">
      <c r="A14" s="37"/>
      <c r="B14" s="37"/>
      <c r="C14" s="105"/>
      <c r="D14" s="39" t="str">
        <f t="shared" si="0"/>
        <v/>
      </c>
    </row>
    <row r="15" spans="1:4" x14ac:dyDescent="0.25">
      <c r="A15" s="37"/>
      <c r="B15" s="37"/>
      <c r="C15" s="105"/>
      <c r="D15" s="39" t="str">
        <f t="shared" si="0"/>
        <v/>
      </c>
    </row>
    <row r="16" spans="1:4" x14ac:dyDescent="0.25">
      <c r="A16" s="37"/>
      <c r="B16" s="37"/>
      <c r="C16" s="105"/>
      <c r="D16" s="39" t="str">
        <f t="shared" si="0"/>
        <v/>
      </c>
    </row>
    <row r="17" spans="1:4" x14ac:dyDescent="0.25">
      <c r="A17" s="37"/>
      <c r="B17" s="37"/>
      <c r="C17" s="105"/>
      <c r="D17" s="39" t="str">
        <f t="shared" si="0"/>
        <v/>
      </c>
    </row>
    <row r="18" spans="1:4" x14ac:dyDescent="0.25">
      <c r="A18" s="37"/>
      <c r="B18" s="37"/>
      <c r="C18" s="105"/>
      <c r="D18" s="39" t="str">
        <f t="shared" si="0"/>
        <v/>
      </c>
    </row>
    <row r="19" spans="1:4" x14ac:dyDescent="0.25">
      <c r="A19" s="37"/>
      <c r="B19" s="37"/>
      <c r="C19" s="105"/>
      <c r="D19" s="39" t="str">
        <f t="shared" si="0"/>
        <v/>
      </c>
    </row>
    <row r="20" spans="1:4" x14ac:dyDescent="0.25">
      <c r="A20" s="37"/>
      <c r="B20" s="37"/>
      <c r="C20" s="105"/>
      <c r="D20" s="39" t="str">
        <f t="shared" si="0"/>
        <v/>
      </c>
    </row>
    <row r="21" spans="1:4" x14ac:dyDescent="0.25">
      <c r="A21" s="37"/>
      <c r="B21" s="37"/>
      <c r="C21" s="105"/>
      <c r="D21" s="39" t="str">
        <f t="shared" si="0"/>
        <v/>
      </c>
    </row>
    <row r="22" spans="1:4" x14ac:dyDescent="0.25">
      <c r="A22" s="37"/>
      <c r="B22" s="37"/>
      <c r="C22" s="105"/>
      <c r="D22" s="39" t="str">
        <f t="shared" si="0"/>
        <v/>
      </c>
    </row>
    <row r="23" spans="1:4" x14ac:dyDescent="0.25">
      <c r="A23" s="37"/>
      <c r="B23" s="37"/>
      <c r="C23" s="105"/>
      <c r="D23" s="39" t="str">
        <f t="shared" si="0"/>
        <v/>
      </c>
    </row>
    <row r="24" spans="1:4" x14ac:dyDescent="0.25">
      <c r="A24" s="37"/>
      <c r="B24" s="37"/>
      <c r="C24" s="105"/>
      <c r="D24" s="39" t="str">
        <f t="shared" si="0"/>
        <v/>
      </c>
    </row>
    <row r="25" spans="1:4" x14ac:dyDescent="0.25">
      <c r="A25" s="37"/>
      <c r="B25" s="37"/>
      <c r="C25" s="105"/>
      <c r="D25" s="39" t="str">
        <f t="shared" si="0"/>
        <v/>
      </c>
    </row>
    <row r="26" spans="1:4" x14ac:dyDescent="0.25">
      <c r="A26" s="37"/>
      <c r="B26" s="37"/>
      <c r="C26" s="105"/>
      <c r="D26" s="39" t="str">
        <f t="shared" si="0"/>
        <v/>
      </c>
    </row>
    <row r="27" spans="1:4" x14ac:dyDescent="0.25">
      <c r="A27" s="37"/>
      <c r="B27" s="37"/>
      <c r="C27" s="105"/>
      <c r="D27" s="39" t="str">
        <f t="shared" si="0"/>
        <v/>
      </c>
    </row>
    <row r="28" spans="1:4" x14ac:dyDescent="0.25">
      <c r="A28" s="37"/>
      <c r="B28" s="37"/>
      <c r="C28" s="105"/>
      <c r="D28" s="39" t="str">
        <f t="shared" si="0"/>
        <v/>
      </c>
    </row>
    <row r="29" spans="1:4" x14ac:dyDescent="0.25">
      <c r="A29" s="37"/>
      <c r="B29" s="37"/>
      <c r="C29" s="105"/>
      <c r="D29" s="39" t="str">
        <f t="shared" si="0"/>
        <v/>
      </c>
    </row>
    <row r="30" spans="1:4" x14ac:dyDescent="0.25">
      <c r="A30" s="37"/>
      <c r="B30" s="37"/>
      <c r="C30" s="105"/>
      <c r="D30" s="39" t="str">
        <f t="shared" si="0"/>
        <v/>
      </c>
    </row>
    <row r="31" spans="1:4" x14ac:dyDescent="0.25">
      <c r="A31" s="37"/>
      <c r="B31" s="37"/>
      <c r="C31" s="105"/>
      <c r="D31" s="39" t="str">
        <f t="shared" si="0"/>
        <v/>
      </c>
    </row>
    <row r="32" spans="1:4" x14ac:dyDescent="0.25">
      <c r="A32" s="37"/>
      <c r="B32" s="37"/>
      <c r="C32" s="105"/>
      <c r="D32" s="39" t="str">
        <f t="shared" si="0"/>
        <v/>
      </c>
    </row>
    <row r="33" spans="1:4" x14ac:dyDescent="0.25">
      <c r="A33" s="37"/>
      <c r="B33" s="37"/>
      <c r="C33" s="105"/>
      <c r="D33" s="39" t="str">
        <f t="shared" si="0"/>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E5CE3-D01B-4670-B095-F14F23EBD4C6}">
  <sheetPr codeName="Sheet18"/>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B288F-F44F-4751-983C-430115E11F53}">
  <sheetPr codeName="Sheet16">
    <tabColor theme="1" tint="4.9989318521683403E-2"/>
  </sheetPr>
  <dimension ref="A1"/>
  <sheetViews>
    <sheetView workbookViewId="0">
      <selection activeCell="O12" sqref="O12"/>
    </sheetView>
  </sheetViews>
  <sheetFormatPr defaultRowHeight="15" x14ac:dyDescent="0.25"/>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8F652-D57C-4EE4-ABA6-5FC151D91220}">
  <dimension ref="A1:E4"/>
  <sheetViews>
    <sheetView workbookViewId="0"/>
  </sheetViews>
  <sheetFormatPr defaultRowHeight="15" x14ac:dyDescent="0.25"/>
  <cols>
    <col min="1" max="1" width="3.28515625" bestFit="1" customWidth="1"/>
    <col min="2" max="2" width="9.28515625" bestFit="1" customWidth="1"/>
    <col min="3" max="3" width="8.5703125" bestFit="1" customWidth="1"/>
    <col min="4" max="4" width="11.28515625" bestFit="1" customWidth="1"/>
    <col min="5" max="5" width="19.28515625" bestFit="1" customWidth="1"/>
  </cols>
  <sheetData>
    <row r="1" spans="1:5" ht="23.25" customHeight="1" x14ac:dyDescent="0.25">
      <c r="A1" s="36" t="s">
        <v>38</v>
      </c>
      <c r="B1" s="36" t="s">
        <v>23</v>
      </c>
      <c r="C1" s="36" t="s">
        <v>25</v>
      </c>
      <c r="D1" s="36" t="s">
        <v>42</v>
      </c>
      <c r="E1" s="36" t="s">
        <v>44</v>
      </c>
    </row>
    <row r="2" spans="1:5" ht="16.5" x14ac:dyDescent="0.25">
      <c r="A2" s="35">
        <v>8</v>
      </c>
      <c r="B2" s="37">
        <v>45977</v>
      </c>
      <c r="C2" s="35">
        <v>1000</v>
      </c>
      <c r="D2" s="35" t="s">
        <v>43</v>
      </c>
      <c r="E2" s="151" t="str">
        <f>IF(A2&lt;&gt;"", VLOOKUP(A2, MEMBERS_INFO!$A$2:$B$21, 2, FALSE), "")</f>
        <v xml:space="preserve">వెలినేని. రవణమ్మ </v>
      </c>
    </row>
    <row r="3" spans="1:5" ht="16.5" x14ac:dyDescent="0.25">
      <c r="A3" s="35">
        <v>10</v>
      </c>
      <c r="B3" s="37">
        <v>45977</v>
      </c>
      <c r="C3" s="35">
        <v>500</v>
      </c>
      <c r="D3" s="35" t="s">
        <v>43</v>
      </c>
      <c r="E3" s="151" t="str">
        <f>IF(A3&lt;&gt;"", VLOOKUP(A3, MEMBERS_INFO!$A$2:$B$21, 2, FALSE), "")</f>
        <v xml:space="preserve">వడ్లమాని. అనిల్ </v>
      </c>
    </row>
    <row r="4" spans="1:5" ht="16.5" x14ac:dyDescent="0.25">
      <c r="A4" s="35">
        <v>10</v>
      </c>
      <c r="B4" s="37">
        <v>45977</v>
      </c>
      <c r="C4" s="35">
        <v>496</v>
      </c>
      <c r="D4" s="35" t="s">
        <v>58</v>
      </c>
      <c r="E4" s="151" t="str">
        <f>IF(A4&lt;&gt;"", VLOOKUP(A4, MEMBERS_INFO!$A$2:$B$21, 2, FALSE), "")</f>
        <v xml:space="preserve">వడ్లమాని. అనిల్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INDEX</vt:lpstr>
      <vt:lpstr>DATA</vt:lpstr>
      <vt:lpstr>TEMP</vt:lpstr>
      <vt:lpstr>REPORT</vt:lpstr>
      <vt:lpstr>REPORT1</vt:lpstr>
      <vt:lpstr>FINAL_REPORT</vt:lpstr>
      <vt:lpstr>FINAL_REPORT1</vt:lpstr>
      <vt:lpstr>LOCAL_SALE</vt:lpstr>
      <vt:lpstr>CAL_DATA</vt:lpstr>
      <vt:lpstr>ADVANCE</vt:lpstr>
      <vt:lpstr>RECOVERY</vt:lpstr>
      <vt:lpstr>MEMBERS_INFO</vt:lpstr>
      <vt:lpstr>FAT_RATES_INFO</vt:lpstr>
      <vt:lpstr>MISSING_DATA</vt:lpstr>
      <vt:lpstr>Sheet2</vt:lpstr>
      <vt:lpstr>LOCAL_SALE_DATA</vt:lpstr>
      <vt:lpstr>DASHBOARD</vt:lpstr>
      <vt:lpstr>Testing</vt:lpstr>
      <vt:lpstr>FilteredData</vt:lpstr>
      <vt:lpstr>FINAL_REPORT!Print_Area</vt:lpstr>
      <vt:lpstr>FINAL_REPORT1!Print_Area</vt:lpstr>
      <vt:lpstr>TBL</vt:lpstr>
      <vt:lpstr>Tbl_Fat_Rates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Madhusudhan</dc:creator>
  <cp:lastModifiedBy>Madhusudhan Velineni</cp:lastModifiedBy>
  <cp:lastPrinted>2025-11-30T16:08:57Z</cp:lastPrinted>
  <dcterms:created xsi:type="dcterms:W3CDTF">2024-12-01T05:02:35Z</dcterms:created>
  <dcterms:modified xsi:type="dcterms:W3CDTF">2025-11-30T16:19:07Z</dcterms:modified>
</cp:coreProperties>
</file>